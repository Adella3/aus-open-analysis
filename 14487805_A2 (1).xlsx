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adella/Downloads/"/>
    </mc:Choice>
  </mc:AlternateContent>
  <xr:revisionPtr revIDLastSave="0" documentId="13_ncr:1_{16D45683-DD17-644A-A249-E80ED6319C73}" xr6:coauthVersionLast="47" xr6:coauthVersionMax="47" xr10:uidLastSave="{00000000-0000-0000-0000-000000000000}"/>
  <bookViews>
    <workbookView xWindow="2520" yWindow="2300" windowWidth="40240" windowHeight="23940" xr2:uid="{00000000-000D-0000-FFFF-FFFF00000000}"/>
  </bookViews>
  <sheets>
    <sheet name="Australian Open" sheetId="1" r:id="rId1"/>
    <sheet name="Nationality" sheetId="2" r:id="rId2"/>
    <sheet name="Gender" sheetId="3" r:id="rId3"/>
    <sheet name="Seed" sheetId="4" r:id="rId4"/>
  </sheets>
  <definedNames>
    <definedName name="_xlnm._FilterDatabase" localSheetId="0" hidden="1">'Australian Open'!$V$1:$V$213</definedName>
    <definedName name="_xlnm._FilterDatabase" localSheetId="1" hidden="1">Nationality!$B$1:$B$213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9" i="2"/>
  <c r="M16" i="2"/>
  <c r="M6" i="2"/>
  <c r="M10" i="2"/>
  <c r="M8" i="2"/>
  <c r="M7" i="2"/>
  <c r="M17" i="2"/>
  <c r="M11" i="2"/>
  <c r="M19" i="2"/>
  <c r="M5" i="2"/>
  <c r="M20" i="2"/>
  <c r="M13" i="2"/>
  <c r="M12" i="2"/>
  <c r="M21" i="2"/>
  <c r="M18" i="2"/>
  <c r="M4" i="2"/>
  <c r="M14" i="2"/>
  <c r="M22" i="2"/>
  <c r="M15" i="2"/>
  <c r="M2" i="2"/>
  <c r="AC170" i="1"/>
  <c r="AC206" i="1"/>
  <c r="AC200" i="1"/>
  <c r="AC192" i="1"/>
  <c r="AC182" i="1"/>
  <c r="AC176" i="1"/>
  <c r="AC172" i="1"/>
  <c r="AC160" i="1"/>
  <c r="AC156" i="1"/>
  <c r="AC154" i="1"/>
  <c r="AC152" i="1"/>
  <c r="AC150" i="1"/>
  <c r="AC148" i="1"/>
  <c r="AC146" i="1"/>
  <c r="AC142" i="1"/>
  <c r="AC138" i="1"/>
  <c r="AC136" i="1"/>
  <c r="AC118" i="1"/>
  <c r="AC212" i="1"/>
  <c r="AC114" i="1"/>
  <c r="AC112" i="1"/>
  <c r="AC106" i="1"/>
  <c r="AC102" i="1"/>
  <c r="AC100" i="1"/>
  <c r="AC98" i="1"/>
  <c r="AC96" i="1"/>
  <c r="AC90" i="1"/>
  <c r="AC88" i="1"/>
  <c r="AC86" i="1"/>
  <c r="AC84" i="1"/>
  <c r="AC80" i="1"/>
  <c r="AC78" i="1"/>
  <c r="AC76" i="1"/>
  <c r="AC72" i="1"/>
  <c r="AC70" i="1"/>
  <c r="AC68" i="1"/>
  <c r="AC66" i="1"/>
  <c r="AC60" i="1"/>
  <c r="AC58" i="1"/>
  <c r="AC56" i="1"/>
  <c r="AC54" i="1"/>
  <c r="AC50" i="1"/>
  <c r="AC48" i="1"/>
  <c r="AC44" i="1"/>
  <c r="AC40" i="1"/>
  <c r="AC38" i="1"/>
  <c r="AC24" i="1"/>
  <c r="AC202" i="1"/>
  <c r="AC188" i="1"/>
  <c r="AC186" i="1"/>
  <c r="AC174" i="1"/>
  <c r="AC158" i="1"/>
  <c r="AC134" i="1"/>
  <c r="AC126" i="1"/>
  <c r="AC120" i="1"/>
  <c r="AC116" i="1"/>
  <c r="AC210" i="1"/>
  <c r="AC108" i="1"/>
  <c r="AC82" i="1"/>
  <c r="AC64" i="1"/>
  <c r="AC42" i="1"/>
  <c r="AC34" i="1"/>
  <c r="AC28" i="1"/>
  <c r="AC18" i="1"/>
  <c r="AC168" i="1"/>
  <c r="AC132" i="1"/>
  <c r="AC124" i="1"/>
  <c r="AC208" i="1"/>
  <c r="AC190" i="1"/>
  <c r="AC180" i="1"/>
  <c r="AC178" i="1"/>
  <c r="AC62" i="1"/>
  <c r="AC36" i="1"/>
  <c r="AC22" i="1"/>
  <c r="AC204" i="1"/>
  <c r="AC198" i="1"/>
  <c r="AC194" i="1"/>
  <c r="AC184" i="1"/>
  <c r="AC166" i="1"/>
  <c r="AC164" i="1"/>
  <c r="AC144" i="1"/>
  <c r="AC139" i="1"/>
  <c r="AC130" i="1"/>
  <c r="AC104" i="1"/>
  <c r="AC92" i="1"/>
  <c r="AC16" i="1"/>
  <c r="AC162" i="1"/>
  <c r="AC140" i="1"/>
  <c r="AC110" i="1"/>
  <c r="AC52" i="1"/>
  <c r="AC46" i="1"/>
  <c r="AC30" i="1"/>
  <c r="AC26" i="1"/>
  <c r="AC20" i="1"/>
  <c r="AC196" i="1"/>
  <c r="AC197" i="1"/>
  <c r="AC181" i="1"/>
  <c r="AC165" i="1"/>
  <c r="AC161" i="1"/>
  <c r="AC155" i="1"/>
  <c r="AC153" i="1"/>
  <c r="AC137" i="1"/>
  <c r="AC131" i="1"/>
  <c r="AC128" i="1"/>
  <c r="AC127" i="1"/>
  <c r="AC125" i="1"/>
  <c r="AC211" i="1"/>
  <c r="AC97" i="1"/>
  <c r="AC91" i="1"/>
  <c r="AC89" i="1"/>
  <c r="AC74" i="1"/>
  <c r="AC71" i="1"/>
  <c r="AC69" i="1"/>
  <c r="AC61" i="1"/>
  <c r="AC53" i="1"/>
  <c r="AC51" i="1"/>
  <c r="AC49" i="1"/>
  <c r="AC32" i="1"/>
  <c r="AC25" i="1"/>
  <c r="AC19" i="1"/>
  <c r="AC13" i="1"/>
  <c r="AC8" i="1"/>
  <c r="AC7" i="1"/>
  <c r="AC4" i="1"/>
  <c r="AC3" i="1"/>
  <c r="AC209" i="1"/>
  <c r="AC201" i="1"/>
  <c r="AC179" i="1"/>
  <c r="AC173" i="1"/>
  <c r="AC169" i="1"/>
  <c r="AC167" i="1"/>
  <c r="AC147" i="1"/>
  <c r="AC141" i="1"/>
  <c r="AC122" i="1"/>
  <c r="AC119" i="1"/>
  <c r="AC105" i="1"/>
  <c r="AC101" i="1"/>
  <c r="AC79" i="1"/>
  <c r="AC41" i="1"/>
  <c r="AC33" i="1"/>
  <c r="AC15" i="1"/>
  <c r="AC6" i="1"/>
  <c r="AC205" i="1"/>
  <c r="AC191" i="1"/>
  <c r="AC151" i="1"/>
  <c r="AC121" i="1"/>
  <c r="AC107" i="1"/>
  <c r="AC87" i="1"/>
  <c r="AC85" i="1"/>
  <c r="AC65" i="1"/>
  <c r="AC43" i="1"/>
  <c r="AC35" i="1"/>
  <c r="AC10" i="1"/>
  <c r="AC187" i="1"/>
  <c r="AC159" i="1"/>
  <c r="AC145" i="1"/>
  <c r="AC143" i="1"/>
  <c r="AC117" i="1"/>
  <c r="AC103" i="1"/>
  <c r="AC81" i="1"/>
  <c r="AC73" i="1"/>
  <c r="AC47" i="1"/>
  <c r="AC39" i="1"/>
  <c r="AC163" i="1"/>
  <c r="AC75" i="1"/>
  <c r="AC63" i="1"/>
  <c r="AC12" i="1"/>
  <c r="AC2" i="1"/>
  <c r="AC175" i="1"/>
  <c r="AC157" i="1"/>
  <c r="AC149" i="1"/>
  <c r="AC113" i="1"/>
  <c r="AC111" i="1"/>
  <c r="AC59" i="1"/>
  <c r="AC11" i="1"/>
  <c r="AC9" i="1"/>
  <c r="AC207" i="1"/>
  <c r="AC199" i="1"/>
  <c r="AC193" i="1"/>
  <c r="AC171" i="1"/>
  <c r="AC99" i="1"/>
  <c r="AC95" i="1"/>
  <c r="AC31" i="1"/>
  <c r="AC17" i="1"/>
  <c r="AC5" i="1"/>
  <c r="AC189" i="1"/>
  <c r="AC185" i="1"/>
  <c r="AC129" i="1"/>
  <c r="AC123" i="1"/>
  <c r="AC115" i="1"/>
  <c r="AC109" i="1"/>
  <c r="AC37" i="1"/>
  <c r="AC23" i="1"/>
  <c r="AC177" i="1"/>
  <c r="AC133" i="1"/>
  <c r="AC21" i="1"/>
  <c r="AC203" i="1"/>
  <c r="AC195" i="1"/>
  <c r="AC213" i="1"/>
  <c r="AC77" i="1"/>
  <c r="AC67" i="1"/>
  <c r="AC55" i="1"/>
  <c r="AC29" i="1"/>
  <c r="AC93" i="1"/>
  <c r="AC57" i="1"/>
  <c r="AC45" i="1"/>
  <c r="AC14" i="1"/>
  <c r="AC135" i="1"/>
  <c r="AC183" i="1"/>
  <c r="AC83" i="1"/>
  <c r="AC27" i="1"/>
  <c r="AB170" i="1"/>
  <c r="AB206" i="1"/>
  <c r="AB200" i="1"/>
  <c r="AB192" i="1"/>
  <c r="AB182" i="1"/>
  <c r="AB176" i="1"/>
  <c r="AB172" i="1"/>
  <c r="AB160" i="1"/>
  <c r="AB156" i="1"/>
  <c r="AB154" i="1"/>
  <c r="AB152" i="1"/>
  <c r="AB150" i="1"/>
  <c r="AB148" i="1"/>
  <c r="AB146" i="1"/>
  <c r="AB142" i="1"/>
  <c r="AB138" i="1"/>
  <c r="AB136" i="1"/>
  <c r="AB118" i="1"/>
  <c r="AB212" i="1"/>
  <c r="AB114" i="1"/>
  <c r="AB112" i="1"/>
  <c r="AB106" i="1"/>
  <c r="AB102" i="1"/>
  <c r="AB100" i="1"/>
  <c r="AB98" i="1"/>
  <c r="AB96" i="1"/>
  <c r="AB90" i="1"/>
  <c r="AB88" i="1"/>
  <c r="AB86" i="1"/>
  <c r="AB84" i="1"/>
  <c r="AB80" i="1"/>
  <c r="AB78" i="1"/>
  <c r="AB76" i="1"/>
  <c r="AB72" i="1"/>
  <c r="AB70" i="1"/>
  <c r="AB68" i="1"/>
  <c r="AB66" i="1"/>
  <c r="AB60" i="1"/>
  <c r="AB58" i="1"/>
  <c r="AB56" i="1"/>
  <c r="AB54" i="1"/>
  <c r="AB50" i="1"/>
  <c r="AB48" i="1"/>
  <c r="AB44" i="1"/>
  <c r="AB40" i="1"/>
  <c r="AB38" i="1"/>
  <c r="AB24" i="1"/>
  <c r="AB202" i="1"/>
  <c r="AB188" i="1"/>
  <c r="AB186" i="1"/>
  <c r="AB174" i="1"/>
  <c r="AB158" i="1"/>
  <c r="AB134" i="1"/>
  <c r="AB126" i="1"/>
  <c r="AB120" i="1"/>
  <c r="AB116" i="1"/>
  <c r="AB210" i="1"/>
  <c r="AB108" i="1"/>
  <c r="AB82" i="1"/>
  <c r="AB64" i="1"/>
  <c r="AB42" i="1"/>
  <c r="AB34" i="1"/>
  <c r="AB28" i="1"/>
  <c r="AB18" i="1"/>
  <c r="AB168" i="1"/>
  <c r="AB132" i="1"/>
  <c r="AB124" i="1"/>
  <c r="AB208" i="1"/>
  <c r="AB190" i="1"/>
  <c r="AB180" i="1"/>
  <c r="AB178" i="1"/>
  <c r="AB62" i="1"/>
  <c r="AB36" i="1"/>
  <c r="AB22" i="1"/>
  <c r="AB204" i="1"/>
  <c r="AB198" i="1"/>
  <c r="AB194" i="1"/>
  <c r="AB184" i="1"/>
  <c r="AB166" i="1"/>
  <c r="AB164" i="1"/>
  <c r="AB144" i="1"/>
  <c r="AB139" i="1"/>
  <c r="AB130" i="1"/>
  <c r="AB104" i="1"/>
  <c r="AB92" i="1"/>
  <c r="AB16" i="1"/>
  <c r="AB162" i="1"/>
  <c r="AB140" i="1"/>
  <c r="AB110" i="1"/>
  <c r="AB52" i="1"/>
  <c r="AB46" i="1"/>
  <c r="AB30" i="1"/>
  <c r="AB26" i="1"/>
  <c r="AB20" i="1"/>
  <c r="AB196" i="1"/>
  <c r="AB197" i="1"/>
  <c r="AB181" i="1"/>
  <c r="AB165" i="1"/>
  <c r="AB161" i="1"/>
  <c r="AB155" i="1"/>
  <c r="AB153" i="1"/>
  <c r="AB137" i="1"/>
  <c r="AB131" i="1"/>
  <c r="AB128" i="1"/>
  <c r="AB127" i="1"/>
  <c r="AB125" i="1"/>
  <c r="AB211" i="1"/>
  <c r="AB97" i="1"/>
  <c r="AB91" i="1"/>
  <c r="AB89" i="1"/>
  <c r="AB74" i="1"/>
  <c r="AB71" i="1"/>
  <c r="AB69" i="1"/>
  <c r="AB61" i="1"/>
  <c r="AB53" i="1"/>
  <c r="AB51" i="1"/>
  <c r="AB49" i="1"/>
  <c r="AB32" i="1"/>
  <c r="AB25" i="1"/>
  <c r="AB19" i="1"/>
  <c r="AB13" i="1"/>
  <c r="AB8" i="1"/>
  <c r="AB7" i="1"/>
  <c r="AB4" i="1"/>
  <c r="AB3" i="1"/>
  <c r="AB209" i="1"/>
  <c r="AB201" i="1"/>
  <c r="AB179" i="1"/>
  <c r="AB173" i="1"/>
  <c r="AB169" i="1"/>
  <c r="AB167" i="1"/>
  <c r="AB147" i="1"/>
  <c r="AB141" i="1"/>
  <c r="AB122" i="1"/>
  <c r="AB119" i="1"/>
  <c r="AB105" i="1"/>
  <c r="AB101" i="1"/>
  <c r="AB79" i="1"/>
  <c r="AB41" i="1"/>
  <c r="AB33" i="1"/>
  <c r="AB15" i="1"/>
  <c r="AB6" i="1"/>
  <c r="AB205" i="1"/>
  <c r="AB191" i="1"/>
  <c r="AB151" i="1"/>
  <c r="AB121" i="1"/>
  <c r="AB107" i="1"/>
  <c r="AB87" i="1"/>
  <c r="AB85" i="1"/>
  <c r="AB65" i="1"/>
  <c r="AB43" i="1"/>
  <c r="AB35" i="1"/>
  <c r="AB10" i="1"/>
  <c r="AB187" i="1"/>
  <c r="AB159" i="1"/>
  <c r="AB145" i="1"/>
  <c r="AB143" i="1"/>
  <c r="AB117" i="1"/>
  <c r="AB103" i="1"/>
  <c r="AB81" i="1"/>
  <c r="AB73" i="1"/>
  <c r="AB47" i="1"/>
  <c r="AB39" i="1"/>
  <c r="AB163" i="1"/>
  <c r="AB75" i="1"/>
  <c r="AB63" i="1"/>
  <c r="AB12" i="1"/>
  <c r="AB2" i="1"/>
  <c r="AB175" i="1"/>
  <c r="AB157" i="1"/>
  <c r="AB149" i="1"/>
  <c r="AB113" i="1"/>
  <c r="AB111" i="1"/>
  <c r="AB59" i="1"/>
  <c r="AB11" i="1"/>
  <c r="AB9" i="1"/>
  <c r="AB207" i="1"/>
  <c r="AB199" i="1"/>
  <c r="AB193" i="1"/>
  <c r="AB171" i="1"/>
  <c r="AB99" i="1"/>
  <c r="AB95" i="1"/>
  <c r="AB31" i="1"/>
  <c r="AB17" i="1"/>
  <c r="AB5" i="1"/>
  <c r="AB189" i="1"/>
  <c r="AB185" i="1"/>
  <c r="AB129" i="1"/>
  <c r="AB123" i="1"/>
  <c r="AB115" i="1"/>
  <c r="AB109" i="1"/>
  <c r="AB37" i="1"/>
  <c r="AB23" i="1"/>
  <c r="AB177" i="1"/>
  <c r="AB133" i="1"/>
  <c r="AB21" i="1"/>
  <c r="AB203" i="1"/>
  <c r="AB195" i="1"/>
  <c r="AB213" i="1"/>
  <c r="AB77" i="1"/>
  <c r="AB67" i="1"/>
  <c r="AB55" i="1"/>
  <c r="AB29" i="1"/>
  <c r="AB93" i="1"/>
  <c r="AB57" i="1"/>
  <c r="AB45" i="1"/>
  <c r="AB14" i="1"/>
  <c r="AB135" i="1"/>
  <c r="AB183" i="1"/>
  <c r="AB83" i="1"/>
  <c r="AB27" i="1"/>
  <c r="AA170" i="1"/>
  <c r="AA206" i="1"/>
  <c r="AA200" i="1"/>
  <c r="AA192" i="1"/>
  <c r="AA182" i="1"/>
  <c r="AA176" i="1"/>
  <c r="AA172" i="1"/>
  <c r="AA160" i="1"/>
  <c r="AA156" i="1"/>
  <c r="AA154" i="1"/>
  <c r="AA152" i="1"/>
  <c r="AA150" i="1"/>
  <c r="AA148" i="1"/>
  <c r="AA146" i="1"/>
  <c r="AA142" i="1"/>
  <c r="AA138" i="1"/>
  <c r="AA136" i="1"/>
  <c r="AA118" i="1"/>
  <c r="AA212" i="1"/>
  <c r="AA114" i="1"/>
  <c r="AA112" i="1"/>
  <c r="AA106" i="1"/>
  <c r="AA102" i="1"/>
  <c r="AA100" i="1"/>
  <c r="AA98" i="1"/>
  <c r="AA96" i="1"/>
  <c r="AA90" i="1"/>
  <c r="AA88" i="1"/>
  <c r="AA86" i="1"/>
  <c r="AA84" i="1"/>
  <c r="AA80" i="1"/>
  <c r="AA78" i="1"/>
  <c r="AA76" i="1"/>
  <c r="AA72" i="1"/>
  <c r="AA70" i="1"/>
  <c r="AA68" i="1"/>
  <c r="AA66" i="1"/>
  <c r="AA60" i="1"/>
  <c r="AA58" i="1"/>
  <c r="AA56" i="1"/>
  <c r="AA54" i="1"/>
  <c r="AA50" i="1"/>
  <c r="AA48" i="1"/>
  <c r="AA44" i="1"/>
  <c r="AA40" i="1"/>
  <c r="AA38" i="1"/>
  <c r="AA24" i="1"/>
  <c r="AA202" i="1"/>
  <c r="AA188" i="1"/>
  <c r="AA186" i="1"/>
  <c r="AA174" i="1"/>
  <c r="AA158" i="1"/>
  <c r="AA134" i="1"/>
  <c r="AA126" i="1"/>
  <c r="AA120" i="1"/>
  <c r="AA116" i="1"/>
  <c r="AA210" i="1"/>
  <c r="AA108" i="1"/>
  <c r="AA82" i="1"/>
  <c r="AA64" i="1"/>
  <c r="AA42" i="1"/>
  <c r="AA34" i="1"/>
  <c r="AA28" i="1"/>
  <c r="AA18" i="1"/>
  <c r="AA168" i="1"/>
  <c r="AA132" i="1"/>
  <c r="AA124" i="1"/>
  <c r="AA208" i="1"/>
  <c r="AA190" i="1"/>
  <c r="AA180" i="1"/>
  <c r="AA178" i="1"/>
  <c r="AA62" i="1"/>
  <c r="AA36" i="1"/>
  <c r="AA22" i="1"/>
  <c r="AA204" i="1"/>
  <c r="AA198" i="1"/>
  <c r="AA194" i="1"/>
  <c r="AA184" i="1"/>
  <c r="AA166" i="1"/>
  <c r="AA164" i="1"/>
  <c r="AA144" i="1"/>
  <c r="AA139" i="1"/>
  <c r="AA130" i="1"/>
  <c r="AA104" i="1"/>
  <c r="AA92" i="1"/>
  <c r="AA16" i="1"/>
  <c r="AA162" i="1"/>
  <c r="AA140" i="1"/>
  <c r="AA110" i="1"/>
  <c r="AA52" i="1"/>
  <c r="AA46" i="1"/>
  <c r="AA30" i="1"/>
  <c r="AA26" i="1"/>
  <c r="AA20" i="1"/>
  <c r="AA196" i="1"/>
  <c r="AA197" i="1"/>
  <c r="AA181" i="1"/>
  <c r="AA165" i="1"/>
  <c r="AA161" i="1"/>
  <c r="AA155" i="1"/>
  <c r="AA153" i="1"/>
  <c r="AA137" i="1"/>
  <c r="AA131" i="1"/>
  <c r="AA128" i="1"/>
  <c r="AA127" i="1"/>
  <c r="AA125" i="1"/>
  <c r="AA211" i="1"/>
  <c r="AA97" i="1"/>
  <c r="AA91" i="1"/>
  <c r="AA89" i="1"/>
  <c r="AA74" i="1"/>
  <c r="AA71" i="1"/>
  <c r="AA69" i="1"/>
  <c r="AA61" i="1"/>
  <c r="AA53" i="1"/>
  <c r="AA51" i="1"/>
  <c r="AA49" i="1"/>
  <c r="AA32" i="1"/>
  <c r="AA25" i="1"/>
  <c r="AA19" i="1"/>
  <c r="AA13" i="1"/>
  <c r="AA8" i="1"/>
  <c r="AA7" i="1"/>
  <c r="AA4" i="1"/>
  <c r="AA3" i="1"/>
  <c r="AA209" i="1"/>
  <c r="AA201" i="1"/>
  <c r="AA179" i="1"/>
  <c r="AA173" i="1"/>
  <c r="AA169" i="1"/>
  <c r="AA167" i="1"/>
  <c r="AA147" i="1"/>
  <c r="AA141" i="1"/>
  <c r="AA122" i="1"/>
  <c r="AA119" i="1"/>
  <c r="AA105" i="1"/>
  <c r="AA101" i="1"/>
  <c r="AA79" i="1"/>
  <c r="AA41" i="1"/>
  <c r="AA33" i="1"/>
  <c r="AA15" i="1"/>
  <c r="AA6" i="1"/>
  <c r="AA205" i="1"/>
  <c r="AA191" i="1"/>
  <c r="AA151" i="1"/>
  <c r="AA121" i="1"/>
  <c r="AA107" i="1"/>
  <c r="AA87" i="1"/>
  <c r="AA85" i="1"/>
  <c r="AA65" i="1"/>
  <c r="AA43" i="1"/>
  <c r="AA35" i="1"/>
  <c r="AA10" i="1"/>
  <c r="AA187" i="1"/>
  <c r="AA159" i="1"/>
  <c r="AA145" i="1"/>
  <c r="AA143" i="1"/>
  <c r="AA117" i="1"/>
  <c r="AA103" i="1"/>
  <c r="AA81" i="1"/>
  <c r="AA73" i="1"/>
  <c r="AA47" i="1"/>
  <c r="AA39" i="1"/>
  <c r="AA163" i="1"/>
  <c r="AA75" i="1"/>
  <c r="AA63" i="1"/>
  <c r="AA12" i="1"/>
  <c r="AA2" i="1"/>
  <c r="AA175" i="1"/>
  <c r="AA157" i="1"/>
  <c r="AA149" i="1"/>
  <c r="AA113" i="1"/>
  <c r="AA111" i="1"/>
  <c r="AA59" i="1"/>
  <c r="AA11" i="1"/>
  <c r="AA9" i="1"/>
  <c r="AA207" i="1"/>
  <c r="AA199" i="1"/>
  <c r="AA193" i="1"/>
  <c r="AA171" i="1"/>
  <c r="AA99" i="1"/>
  <c r="AA95" i="1"/>
  <c r="AA31" i="1"/>
  <c r="AA17" i="1"/>
  <c r="AA5" i="1"/>
  <c r="AA189" i="1"/>
  <c r="AA185" i="1"/>
  <c r="AA129" i="1"/>
  <c r="AA123" i="1"/>
  <c r="AA115" i="1"/>
  <c r="AA109" i="1"/>
  <c r="AA37" i="1"/>
  <c r="AA23" i="1"/>
  <c r="AA177" i="1"/>
  <c r="AA133" i="1"/>
  <c r="AA21" i="1"/>
  <c r="AA203" i="1"/>
  <c r="AA195" i="1"/>
  <c r="AA213" i="1"/>
  <c r="AA77" i="1"/>
  <c r="AA67" i="1"/>
  <c r="AA55" i="1"/>
  <c r="AA29" i="1"/>
  <c r="AA93" i="1"/>
  <c r="AA57" i="1"/>
  <c r="AA45" i="1"/>
  <c r="AA14" i="1"/>
  <c r="AA135" i="1"/>
  <c r="AA183" i="1"/>
  <c r="AA83" i="1"/>
  <c r="AA27" i="1"/>
  <c r="AC94" i="1"/>
  <c r="AB94" i="1"/>
  <c r="AA94" i="1"/>
  <c r="Z94" i="1"/>
  <c r="Z170" i="1"/>
  <c r="Z206" i="1"/>
  <c r="Z200" i="1"/>
  <c r="Z192" i="1"/>
  <c r="Z182" i="1"/>
  <c r="Z176" i="1"/>
  <c r="Z172" i="1"/>
  <c r="Z160" i="1"/>
  <c r="Z156" i="1"/>
  <c r="Z154" i="1"/>
  <c r="Z152" i="1"/>
  <c r="Z150" i="1"/>
  <c r="Z148" i="1"/>
  <c r="Z146" i="1"/>
  <c r="Z142" i="1"/>
  <c r="Z138" i="1"/>
  <c r="Z136" i="1"/>
  <c r="Z118" i="1"/>
  <c r="Z212" i="1"/>
  <c r="Z114" i="1"/>
  <c r="Z112" i="1"/>
  <c r="Z106" i="1"/>
  <c r="Z102" i="1"/>
  <c r="Z100" i="1"/>
  <c r="Z98" i="1"/>
  <c r="Z96" i="1"/>
  <c r="Z90" i="1"/>
  <c r="Z88" i="1"/>
  <c r="Z86" i="1"/>
  <c r="Z84" i="1"/>
  <c r="Z80" i="1"/>
  <c r="Z78" i="1"/>
  <c r="Z76" i="1"/>
  <c r="Z72" i="1"/>
  <c r="Z70" i="1"/>
  <c r="Z68" i="1"/>
  <c r="Z66" i="1"/>
  <c r="Z60" i="1"/>
  <c r="Z58" i="1"/>
  <c r="Z56" i="1"/>
  <c r="Z54" i="1"/>
  <c r="Z50" i="1"/>
  <c r="Z48" i="1"/>
  <c r="Z44" i="1"/>
  <c r="Z40" i="1"/>
  <c r="Z38" i="1"/>
  <c r="Z24" i="1"/>
  <c r="Z202" i="1"/>
  <c r="Z188" i="1"/>
  <c r="Z186" i="1"/>
  <c r="Z174" i="1"/>
  <c r="Z158" i="1"/>
  <c r="Z134" i="1"/>
  <c r="Z126" i="1"/>
  <c r="Z120" i="1"/>
  <c r="Z116" i="1"/>
  <c r="Z210" i="1"/>
  <c r="Z108" i="1"/>
  <c r="Z82" i="1"/>
  <c r="Z64" i="1"/>
  <c r="Z42" i="1"/>
  <c r="Z34" i="1"/>
  <c r="Z28" i="1"/>
  <c r="Z18" i="1"/>
  <c r="Z168" i="1"/>
  <c r="Z132" i="1"/>
  <c r="Z124" i="1"/>
  <c r="Z208" i="1"/>
  <c r="Z190" i="1"/>
  <c r="Z180" i="1"/>
  <c r="Z178" i="1"/>
  <c r="Z62" i="1"/>
  <c r="Z36" i="1"/>
  <c r="Z22" i="1"/>
  <c r="Z204" i="1"/>
  <c r="Z198" i="1"/>
  <c r="Z194" i="1"/>
  <c r="Z184" i="1"/>
  <c r="Z166" i="1"/>
  <c r="Z164" i="1"/>
  <c r="Z144" i="1"/>
  <c r="Z139" i="1"/>
  <c r="Z130" i="1"/>
  <c r="Z104" i="1"/>
  <c r="Z92" i="1"/>
  <c r="Z16" i="1"/>
  <c r="Z162" i="1"/>
  <c r="Z140" i="1"/>
  <c r="Z110" i="1"/>
  <c r="Z52" i="1"/>
  <c r="Z46" i="1"/>
  <c r="Z30" i="1"/>
  <c r="Z26" i="1"/>
  <c r="Z20" i="1"/>
  <c r="Z196" i="1"/>
  <c r="Z197" i="1"/>
  <c r="Z181" i="1"/>
  <c r="Z165" i="1"/>
  <c r="Z161" i="1"/>
  <c r="Z155" i="1"/>
  <c r="Z153" i="1"/>
  <c r="Z137" i="1"/>
  <c r="Z131" i="1"/>
  <c r="Z128" i="1"/>
  <c r="Z127" i="1"/>
  <c r="Z125" i="1"/>
  <c r="Z211" i="1"/>
  <c r="Z97" i="1"/>
  <c r="Z91" i="1"/>
  <c r="Z89" i="1"/>
  <c r="Z74" i="1"/>
  <c r="Z71" i="1"/>
  <c r="Z69" i="1"/>
  <c r="Z61" i="1"/>
  <c r="Z53" i="1"/>
  <c r="Z51" i="1"/>
  <c r="Z49" i="1"/>
  <c r="Z32" i="1"/>
  <c r="Z25" i="1"/>
  <c r="Z19" i="1"/>
  <c r="Z13" i="1"/>
  <c r="Z8" i="1"/>
  <c r="Z7" i="1"/>
  <c r="Z4" i="1"/>
  <c r="Z3" i="1"/>
  <c r="Z209" i="1"/>
  <c r="Z201" i="1"/>
  <c r="Z179" i="1"/>
  <c r="Z173" i="1"/>
  <c r="Z169" i="1"/>
  <c r="Z167" i="1"/>
  <c r="Z147" i="1"/>
  <c r="Z141" i="1"/>
  <c r="Z122" i="1"/>
  <c r="Z119" i="1"/>
  <c r="Z105" i="1"/>
  <c r="Z101" i="1"/>
  <c r="Z79" i="1"/>
  <c r="Z41" i="1"/>
  <c r="Z33" i="1"/>
  <c r="Z15" i="1"/>
  <c r="Z6" i="1"/>
  <c r="Z205" i="1"/>
  <c r="Z191" i="1"/>
  <c r="Z151" i="1"/>
  <c r="Z121" i="1"/>
  <c r="Z107" i="1"/>
  <c r="Z87" i="1"/>
  <c r="Z85" i="1"/>
  <c r="Z65" i="1"/>
  <c r="Z43" i="1"/>
  <c r="Z35" i="1"/>
  <c r="Z10" i="1"/>
  <c r="Z187" i="1"/>
  <c r="Z159" i="1"/>
  <c r="Z145" i="1"/>
  <c r="Z143" i="1"/>
  <c r="Z117" i="1"/>
  <c r="Z103" i="1"/>
  <c r="Z81" i="1"/>
  <c r="Z73" i="1"/>
  <c r="Z47" i="1"/>
  <c r="Z39" i="1"/>
  <c r="Z163" i="1"/>
  <c r="Z75" i="1"/>
  <c r="Z63" i="1"/>
  <c r="Z12" i="1"/>
  <c r="Z2" i="1"/>
  <c r="Z175" i="1"/>
  <c r="Z157" i="1"/>
  <c r="Z149" i="1"/>
  <c r="Z113" i="1"/>
  <c r="Z111" i="1"/>
  <c r="Z59" i="1"/>
  <c r="Z11" i="1"/>
  <c r="Z9" i="1"/>
  <c r="Z207" i="1"/>
  <c r="Z199" i="1"/>
  <c r="Z193" i="1"/>
  <c r="Z171" i="1"/>
  <c r="Z99" i="1"/>
  <c r="Z95" i="1"/>
  <c r="Z31" i="1"/>
  <c r="Z17" i="1"/>
  <c r="Z5" i="1"/>
  <c r="Z189" i="1"/>
  <c r="Z185" i="1"/>
  <c r="Z129" i="1"/>
  <c r="Z123" i="1"/>
  <c r="Z115" i="1"/>
  <c r="Z109" i="1"/>
  <c r="Z37" i="1"/>
  <c r="Z23" i="1"/>
  <c r="Z177" i="1"/>
  <c r="Z133" i="1"/>
  <c r="Z21" i="1"/>
  <c r="Z203" i="1"/>
  <c r="Z195" i="1"/>
  <c r="Z213" i="1"/>
  <c r="Z77" i="1"/>
  <c r="Z67" i="1"/>
  <c r="Z55" i="1"/>
  <c r="Z29" i="1"/>
  <c r="Z93" i="1"/>
  <c r="Z57" i="1"/>
  <c r="Z45" i="1"/>
  <c r="Z14" i="1"/>
  <c r="Z135" i="1"/>
  <c r="Z183" i="1"/>
  <c r="Z83" i="1"/>
  <c r="Z27" i="1"/>
  <c r="Y170" i="1"/>
  <c r="B11" i="2"/>
  <c r="B10" i="2"/>
  <c r="B14" i="2"/>
  <c r="B3" i="2"/>
  <c r="B4" i="2"/>
  <c r="B7" i="2"/>
  <c r="B12" i="2"/>
  <c r="B6" i="2"/>
  <c r="B20" i="2"/>
  <c r="B13" i="2"/>
  <c r="B9" i="2"/>
  <c r="B15" i="2"/>
  <c r="B21" i="2"/>
  <c r="B5" i="2"/>
  <c r="B8" i="2"/>
  <c r="B16" i="2"/>
  <c r="B17" i="2"/>
  <c r="B18" i="2"/>
  <c r="B22" i="2"/>
  <c r="B19" i="2"/>
  <c r="B2" i="2"/>
  <c r="Y209" i="1"/>
  <c r="Y206" i="1"/>
  <c r="Y207" i="1"/>
  <c r="Y204" i="1"/>
  <c r="Y205" i="1"/>
  <c r="Y202" i="1"/>
  <c r="Y203" i="1"/>
  <c r="Y200" i="1"/>
  <c r="Y201" i="1"/>
  <c r="Y198" i="1"/>
  <c r="Y199" i="1"/>
  <c r="Y196" i="1"/>
  <c r="Y197" i="1"/>
  <c r="Y194" i="1"/>
  <c r="Y195" i="1"/>
  <c r="Y192" i="1"/>
  <c r="Y193" i="1"/>
  <c r="Y190" i="1"/>
  <c r="Y191" i="1"/>
  <c r="Y188" i="1"/>
  <c r="Y189" i="1"/>
  <c r="Y186" i="1"/>
  <c r="Y187" i="1"/>
  <c r="Y184" i="1"/>
  <c r="Y185" i="1"/>
  <c r="Y182" i="1"/>
  <c r="Y183" i="1"/>
  <c r="Y180" i="1"/>
  <c r="Y181" i="1"/>
  <c r="Y178" i="1"/>
  <c r="Y179" i="1"/>
  <c r="Y176" i="1"/>
  <c r="Y177" i="1"/>
  <c r="Y174" i="1"/>
  <c r="Y175" i="1"/>
  <c r="Y172" i="1"/>
  <c r="Y173" i="1"/>
  <c r="Y171" i="1"/>
  <c r="Y168" i="1"/>
  <c r="Y169" i="1"/>
  <c r="Y166" i="1"/>
  <c r="Y167" i="1"/>
  <c r="Y164" i="1"/>
  <c r="Y165" i="1"/>
  <c r="Y162" i="1"/>
  <c r="Y163" i="1"/>
  <c r="Y160" i="1"/>
  <c r="Y161" i="1"/>
  <c r="Y158" i="1"/>
  <c r="Y159" i="1"/>
  <c r="Y156" i="1"/>
  <c r="Y157" i="1"/>
  <c r="Y154" i="1"/>
  <c r="Y155" i="1"/>
  <c r="Y152" i="1"/>
  <c r="Y153" i="1"/>
  <c r="Y150" i="1"/>
  <c r="Y151" i="1"/>
  <c r="Y148" i="1"/>
  <c r="Y149" i="1"/>
  <c r="Y146" i="1"/>
  <c r="Y147" i="1"/>
  <c r="Y144" i="1"/>
  <c r="Y145" i="1"/>
  <c r="Y142" i="1"/>
  <c r="Y143" i="1"/>
  <c r="Y140" i="1"/>
  <c r="Y141" i="1"/>
  <c r="Y138" i="1"/>
  <c r="Y139" i="1"/>
  <c r="Y136" i="1"/>
  <c r="Y137" i="1"/>
  <c r="Y134" i="1"/>
  <c r="Y135" i="1"/>
  <c r="Y132" i="1"/>
  <c r="Y133" i="1"/>
  <c r="Y130" i="1"/>
  <c r="Y131" i="1"/>
  <c r="Y128" i="1"/>
  <c r="Y129" i="1"/>
  <c r="Y126" i="1"/>
  <c r="Y127" i="1"/>
  <c r="Y124" i="1"/>
  <c r="Y125" i="1"/>
  <c r="Y122" i="1"/>
  <c r="Y123" i="1"/>
  <c r="Y120" i="1"/>
  <c r="Y121" i="1"/>
  <c r="Y118" i="1"/>
  <c r="Y119" i="1"/>
  <c r="Y116" i="1"/>
  <c r="Y117" i="1"/>
  <c r="Y212" i="1"/>
  <c r="Y213" i="1"/>
  <c r="Y210" i="1"/>
  <c r="Y211" i="1"/>
  <c r="Y114" i="1"/>
  <c r="Y115" i="1"/>
  <c r="Y112" i="1"/>
  <c r="Y113" i="1"/>
  <c r="Y110" i="1"/>
  <c r="Y111" i="1"/>
  <c r="Y108" i="1"/>
  <c r="Y109" i="1"/>
  <c r="Y106" i="1"/>
  <c r="Y107" i="1"/>
  <c r="Y104" i="1"/>
  <c r="Y105" i="1"/>
  <c r="Y102" i="1"/>
  <c r="Y103" i="1"/>
  <c r="Y100" i="1"/>
  <c r="Y101" i="1"/>
  <c r="Y98" i="1"/>
  <c r="Y99" i="1"/>
  <c r="Y96" i="1"/>
  <c r="Y97" i="1"/>
  <c r="Y94" i="1"/>
  <c r="Y95" i="1"/>
  <c r="Y92" i="1"/>
  <c r="Y93" i="1"/>
  <c r="Y90" i="1"/>
  <c r="Y91" i="1"/>
  <c r="Y88" i="1"/>
  <c r="Y89" i="1"/>
  <c r="Y86" i="1"/>
  <c r="Y87" i="1"/>
  <c r="Y84" i="1"/>
  <c r="Y85" i="1"/>
  <c r="Y82" i="1"/>
  <c r="Y83" i="1"/>
  <c r="Y80" i="1"/>
  <c r="Y81" i="1"/>
  <c r="Y78" i="1"/>
  <c r="Y79" i="1"/>
  <c r="Y76" i="1"/>
  <c r="Y77" i="1"/>
  <c r="Y74" i="1"/>
  <c r="Y75" i="1"/>
  <c r="Y72" i="1"/>
  <c r="Y73" i="1"/>
  <c r="Y70" i="1"/>
  <c r="Y71" i="1"/>
  <c r="Y68" i="1"/>
  <c r="Y69" i="1"/>
  <c r="Y66" i="1"/>
  <c r="Y67" i="1"/>
  <c r="Y64" i="1"/>
  <c r="Y65" i="1"/>
  <c r="Y62" i="1"/>
  <c r="Y63" i="1"/>
  <c r="Y60" i="1"/>
  <c r="Y61" i="1"/>
  <c r="Y58" i="1"/>
  <c r="Y59" i="1"/>
  <c r="Y56" i="1"/>
  <c r="Y57" i="1"/>
  <c r="Y54" i="1"/>
  <c r="Y55" i="1"/>
  <c r="Y52" i="1"/>
  <c r="Y53" i="1"/>
  <c r="Y50" i="1"/>
  <c r="Y51" i="1"/>
  <c r="Y48" i="1"/>
  <c r="Y49" i="1"/>
  <c r="Y46" i="1"/>
  <c r="Y47" i="1"/>
  <c r="Y44" i="1"/>
  <c r="Y45" i="1"/>
  <c r="Y42" i="1"/>
  <c r="Y43" i="1"/>
  <c r="Y40" i="1"/>
  <c r="Y41" i="1"/>
  <c r="Y38" i="1"/>
  <c r="Y39" i="1"/>
  <c r="Y36" i="1"/>
  <c r="Y37" i="1"/>
  <c r="Y34" i="1"/>
  <c r="Y35" i="1"/>
  <c r="Y33" i="1"/>
  <c r="Y32" i="1"/>
  <c r="Y30" i="1"/>
  <c r="Y31" i="1"/>
  <c r="Y28" i="1"/>
  <c r="Y29" i="1"/>
  <c r="Y26" i="1"/>
  <c r="Y27" i="1"/>
  <c r="Y24" i="1"/>
  <c r="Y25" i="1"/>
  <c r="Y22" i="1"/>
  <c r="Y23" i="1"/>
  <c r="Y20" i="1"/>
  <c r="Y21" i="1"/>
  <c r="Y18" i="1"/>
  <c r="Y19" i="1"/>
  <c r="Y16" i="1"/>
  <c r="Y17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W209" i="1"/>
  <c r="W206" i="1"/>
  <c r="W207" i="1"/>
  <c r="W204" i="1"/>
  <c r="W205" i="1"/>
  <c r="W202" i="1"/>
  <c r="W203" i="1"/>
  <c r="W200" i="1"/>
  <c r="W201" i="1"/>
  <c r="W198" i="1"/>
  <c r="W199" i="1"/>
  <c r="W196" i="1"/>
  <c r="W197" i="1"/>
  <c r="W194" i="1"/>
  <c r="W195" i="1"/>
  <c r="W192" i="1"/>
  <c r="W193" i="1"/>
  <c r="W190" i="1"/>
  <c r="W191" i="1"/>
  <c r="W188" i="1"/>
  <c r="W189" i="1"/>
  <c r="W186" i="1"/>
  <c r="W187" i="1"/>
  <c r="W184" i="1"/>
  <c r="W185" i="1"/>
  <c r="W182" i="1"/>
  <c r="W183" i="1"/>
  <c r="W180" i="1"/>
  <c r="W181" i="1"/>
  <c r="W178" i="1"/>
  <c r="W179" i="1"/>
  <c r="W176" i="1"/>
  <c r="W177" i="1"/>
  <c r="W174" i="1"/>
  <c r="W175" i="1"/>
  <c r="W172" i="1"/>
  <c r="W173" i="1"/>
  <c r="W170" i="1"/>
  <c r="W171" i="1"/>
  <c r="W168" i="1"/>
  <c r="W169" i="1"/>
  <c r="W166" i="1"/>
  <c r="W167" i="1"/>
  <c r="W164" i="1"/>
  <c r="W165" i="1"/>
  <c r="W162" i="1"/>
  <c r="W163" i="1"/>
  <c r="W160" i="1"/>
  <c r="AD160" i="1" s="1"/>
  <c r="W161" i="1"/>
  <c r="W158" i="1"/>
  <c r="W159" i="1"/>
  <c r="W156" i="1"/>
  <c r="W157" i="1"/>
  <c r="W154" i="1"/>
  <c r="W155" i="1"/>
  <c r="W152" i="1"/>
  <c r="W153" i="1"/>
  <c r="W150" i="1"/>
  <c r="W151" i="1"/>
  <c r="W148" i="1"/>
  <c r="W149" i="1"/>
  <c r="W146" i="1"/>
  <c r="W147" i="1"/>
  <c r="W144" i="1"/>
  <c r="W145" i="1"/>
  <c r="W142" i="1"/>
  <c r="W143" i="1"/>
  <c r="W140" i="1"/>
  <c r="W141" i="1"/>
  <c r="W138" i="1"/>
  <c r="W139" i="1"/>
  <c r="W136" i="1"/>
  <c r="W137" i="1"/>
  <c r="W134" i="1"/>
  <c r="W135" i="1"/>
  <c r="W132" i="1"/>
  <c r="W133" i="1"/>
  <c r="W130" i="1"/>
  <c r="W131" i="1"/>
  <c r="W128" i="1"/>
  <c r="W129" i="1"/>
  <c r="W126" i="1"/>
  <c r="W127" i="1"/>
  <c r="W124" i="1"/>
  <c r="W125" i="1"/>
  <c r="W122" i="1"/>
  <c r="W123" i="1"/>
  <c r="W120" i="1"/>
  <c r="W121" i="1"/>
  <c r="W118" i="1"/>
  <c r="W119" i="1"/>
  <c r="W116" i="1"/>
  <c r="W117" i="1"/>
  <c r="W212" i="1"/>
  <c r="W213" i="1"/>
  <c r="W210" i="1"/>
  <c r="AD210" i="1" s="1"/>
  <c r="W211" i="1"/>
  <c r="W114" i="1"/>
  <c r="W115" i="1"/>
  <c r="W112" i="1"/>
  <c r="W113" i="1"/>
  <c r="W110" i="1"/>
  <c r="W111" i="1"/>
  <c r="W108" i="1"/>
  <c r="W109" i="1"/>
  <c r="W106" i="1"/>
  <c r="W107" i="1"/>
  <c r="W104" i="1"/>
  <c r="W105" i="1"/>
  <c r="W102" i="1"/>
  <c r="W103" i="1"/>
  <c r="W100" i="1"/>
  <c r="W101" i="1"/>
  <c r="W98" i="1"/>
  <c r="W99" i="1"/>
  <c r="W96" i="1"/>
  <c r="W97" i="1"/>
  <c r="W94" i="1"/>
  <c r="W95" i="1"/>
  <c r="W92" i="1"/>
  <c r="W93" i="1"/>
  <c r="W90" i="1"/>
  <c r="W91" i="1"/>
  <c r="W88" i="1"/>
  <c r="W89" i="1"/>
  <c r="W86" i="1"/>
  <c r="W87" i="1"/>
  <c r="W84" i="1"/>
  <c r="W85" i="1"/>
  <c r="W82" i="1"/>
  <c r="W83" i="1"/>
  <c r="W80" i="1"/>
  <c r="W81" i="1"/>
  <c r="W78" i="1"/>
  <c r="W79" i="1"/>
  <c r="W76" i="1"/>
  <c r="W77" i="1"/>
  <c r="W74" i="1"/>
  <c r="W75" i="1"/>
  <c r="W72" i="1"/>
  <c r="W73" i="1"/>
  <c r="W70" i="1"/>
  <c r="W71" i="1"/>
  <c r="W68" i="1"/>
  <c r="W69" i="1"/>
  <c r="W66" i="1"/>
  <c r="W67" i="1"/>
  <c r="W64" i="1"/>
  <c r="W65" i="1"/>
  <c r="W62" i="1"/>
  <c r="W63" i="1"/>
  <c r="W60" i="1"/>
  <c r="W61" i="1"/>
  <c r="W58" i="1"/>
  <c r="W59" i="1"/>
  <c r="W56" i="1"/>
  <c r="W57" i="1"/>
  <c r="W54" i="1"/>
  <c r="W55" i="1"/>
  <c r="W52" i="1"/>
  <c r="W53" i="1"/>
  <c r="W50" i="1"/>
  <c r="W51" i="1"/>
  <c r="W48" i="1"/>
  <c r="W49" i="1"/>
  <c r="W46" i="1"/>
  <c r="W47" i="1"/>
  <c r="W44" i="1"/>
  <c r="AD44" i="1" s="1"/>
  <c r="W45" i="1"/>
  <c r="W42" i="1"/>
  <c r="W43" i="1"/>
  <c r="W40" i="1"/>
  <c r="W41" i="1"/>
  <c r="W38" i="1"/>
  <c r="W39" i="1"/>
  <c r="W36" i="1"/>
  <c r="W37" i="1"/>
  <c r="W34" i="1"/>
  <c r="W35" i="1"/>
  <c r="W33" i="1"/>
  <c r="AD33" i="1" s="1"/>
  <c r="W32" i="1"/>
  <c r="W30" i="1"/>
  <c r="W31" i="1"/>
  <c r="W28" i="1"/>
  <c r="W29" i="1"/>
  <c r="W26" i="1"/>
  <c r="W27" i="1"/>
  <c r="W24" i="1"/>
  <c r="W25" i="1"/>
  <c r="W22" i="1"/>
  <c r="W23" i="1"/>
  <c r="W20" i="1"/>
  <c r="W21" i="1"/>
  <c r="W18" i="1"/>
  <c r="W19" i="1"/>
  <c r="W16" i="1"/>
  <c r="W17" i="1"/>
  <c r="W15" i="1"/>
  <c r="W14" i="1"/>
  <c r="W13" i="1"/>
  <c r="W12" i="1"/>
  <c r="W11" i="1"/>
  <c r="W10" i="1"/>
  <c r="W9" i="1"/>
  <c r="AD9" i="1" s="1"/>
  <c r="W8" i="1"/>
  <c r="W7" i="1"/>
  <c r="W6" i="1"/>
  <c r="W5" i="1"/>
  <c r="W4" i="1"/>
  <c r="W3" i="1"/>
  <c r="W2" i="1"/>
  <c r="Y208" i="1"/>
  <c r="W208" i="1"/>
  <c r="V209" i="1"/>
  <c r="V206" i="1"/>
  <c r="V207" i="1"/>
  <c r="V204" i="1"/>
  <c r="V205" i="1"/>
  <c r="V202" i="1"/>
  <c r="V203" i="1"/>
  <c r="V200" i="1"/>
  <c r="V201" i="1"/>
  <c r="V198" i="1"/>
  <c r="V199" i="1"/>
  <c r="V196" i="1"/>
  <c r="V197" i="1"/>
  <c r="V194" i="1"/>
  <c r="V195" i="1"/>
  <c r="V192" i="1"/>
  <c r="V193" i="1"/>
  <c r="V190" i="1"/>
  <c r="V191" i="1"/>
  <c r="V188" i="1"/>
  <c r="V189" i="1"/>
  <c r="V186" i="1"/>
  <c r="V187" i="1"/>
  <c r="V184" i="1"/>
  <c r="V185" i="1"/>
  <c r="V182" i="1"/>
  <c r="V183" i="1"/>
  <c r="V180" i="1"/>
  <c r="V181" i="1"/>
  <c r="V178" i="1"/>
  <c r="V179" i="1"/>
  <c r="V176" i="1"/>
  <c r="V177" i="1"/>
  <c r="V174" i="1"/>
  <c r="V175" i="1"/>
  <c r="V172" i="1"/>
  <c r="V173" i="1"/>
  <c r="V170" i="1"/>
  <c r="V171" i="1"/>
  <c r="V168" i="1"/>
  <c r="V169" i="1"/>
  <c r="V166" i="1"/>
  <c r="V167" i="1"/>
  <c r="V164" i="1"/>
  <c r="V165" i="1"/>
  <c r="V162" i="1"/>
  <c r="V163" i="1"/>
  <c r="V160" i="1"/>
  <c r="V161" i="1"/>
  <c r="V158" i="1"/>
  <c r="V159" i="1"/>
  <c r="V156" i="1"/>
  <c r="V157" i="1"/>
  <c r="V154" i="1"/>
  <c r="V155" i="1"/>
  <c r="V152" i="1"/>
  <c r="V153" i="1"/>
  <c r="V150" i="1"/>
  <c r="V151" i="1"/>
  <c r="V148" i="1"/>
  <c r="V149" i="1"/>
  <c r="V146" i="1"/>
  <c r="V147" i="1"/>
  <c r="V144" i="1"/>
  <c r="V145" i="1"/>
  <c r="V142" i="1"/>
  <c r="V143" i="1"/>
  <c r="V140" i="1"/>
  <c r="V141" i="1"/>
  <c r="V138" i="1"/>
  <c r="V139" i="1"/>
  <c r="V136" i="1"/>
  <c r="V137" i="1"/>
  <c r="V134" i="1"/>
  <c r="V135" i="1"/>
  <c r="V132" i="1"/>
  <c r="V133" i="1"/>
  <c r="V130" i="1"/>
  <c r="V131" i="1"/>
  <c r="V128" i="1"/>
  <c r="V129" i="1"/>
  <c r="V126" i="1"/>
  <c r="V127" i="1"/>
  <c r="V124" i="1"/>
  <c r="V125" i="1"/>
  <c r="V122" i="1"/>
  <c r="V123" i="1"/>
  <c r="V120" i="1"/>
  <c r="V121" i="1"/>
  <c r="V118" i="1"/>
  <c r="V119" i="1"/>
  <c r="V116" i="1"/>
  <c r="V117" i="1"/>
  <c r="V212" i="1"/>
  <c r="V213" i="1"/>
  <c r="V210" i="1"/>
  <c r="V211" i="1"/>
  <c r="V114" i="1"/>
  <c r="V115" i="1"/>
  <c r="V112" i="1"/>
  <c r="V113" i="1"/>
  <c r="V110" i="1"/>
  <c r="V111" i="1"/>
  <c r="V108" i="1"/>
  <c r="V109" i="1"/>
  <c r="V106" i="1"/>
  <c r="V107" i="1"/>
  <c r="V104" i="1"/>
  <c r="V105" i="1"/>
  <c r="V102" i="1"/>
  <c r="V103" i="1"/>
  <c r="V100" i="1"/>
  <c r="V101" i="1"/>
  <c r="V98" i="1"/>
  <c r="V99" i="1"/>
  <c r="V96" i="1"/>
  <c r="V97" i="1"/>
  <c r="V94" i="1"/>
  <c r="V95" i="1"/>
  <c r="V92" i="1"/>
  <c r="V93" i="1"/>
  <c r="V90" i="1"/>
  <c r="V91" i="1"/>
  <c r="V88" i="1"/>
  <c r="V89" i="1"/>
  <c r="V86" i="1"/>
  <c r="V87" i="1"/>
  <c r="V84" i="1"/>
  <c r="V85" i="1"/>
  <c r="V82" i="1"/>
  <c r="V83" i="1"/>
  <c r="V80" i="1"/>
  <c r="V81" i="1"/>
  <c r="V78" i="1"/>
  <c r="V79" i="1"/>
  <c r="V76" i="1"/>
  <c r="V77" i="1"/>
  <c r="V74" i="1"/>
  <c r="V75" i="1"/>
  <c r="V72" i="1"/>
  <c r="V73" i="1"/>
  <c r="V70" i="1"/>
  <c r="V71" i="1"/>
  <c r="V68" i="1"/>
  <c r="V69" i="1"/>
  <c r="V66" i="1"/>
  <c r="V67" i="1"/>
  <c r="V64" i="1"/>
  <c r="V65" i="1"/>
  <c r="V62" i="1"/>
  <c r="V63" i="1"/>
  <c r="V60" i="1"/>
  <c r="V61" i="1"/>
  <c r="V58" i="1"/>
  <c r="V59" i="1"/>
  <c r="V56" i="1"/>
  <c r="V57" i="1"/>
  <c r="V54" i="1"/>
  <c r="V55" i="1"/>
  <c r="V52" i="1"/>
  <c r="V53" i="1"/>
  <c r="V50" i="1"/>
  <c r="V51" i="1"/>
  <c r="V48" i="1"/>
  <c r="V49" i="1"/>
  <c r="V46" i="1"/>
  <c r="V47" i="1"/>
  <c r="V44" i="1"/>
  <c r="V45" i="1"/>
  <c r="V42" i="1"/>
  <c r="V43" i="1"/>
  <c r="V40" i="1"/>
  <c r="V41" i="1"/>
  <c r="V38" i="1"/>
  <c r="V39" i="1"/>
  <c r="V36" i="1"/>
  <c r="V37" i="1"/>
  <c r="V34" i="1"/>
  <c r="V35" i="1"/>
  <c r="V33" i="1"/>
  <c r="V32" i="1"/>
  <c r="V30" i="1"/>
  <c r="V31" i="1"/>
  <c r="V28" i="1"/>
  <c r="V29" i="1"/>
  <c r="V26" i="1"/>
  <c r="V27" i="1"/>
  <c r="V24" i="1"/>
  <c r="V25" i="1"/>
  <c r="V22" i="1"/>
  <c r="V23" i="1"/>
  <c r="V20" i="1"/>
  <c r="V21" i="1"/>
  <c r="V18" i="1"/>
  <c r="V19" i="1"/>
  <c r="V16" i="1"/>
  <c r="V17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V208" i="1"/>
  <c r="AD108" i="1" l="1"/>
  <c r="AD116" i="1"/>
  <c r="AD35" i="1"/>
  <c r="AD213" i="1"/>
  <c r="AD127" i="1"/>
  <c r="AD163" i="1"/>
  <c r="AD199" i="1"/>
  <c r="AD46" i="1"/>
  <c r="X208" i="1"/>
  <c r="AD12" i="1"/>
  <c r="AD61" i="1"/>
  <c r="AD73" i="1"/>
  <c r="AD85" i="1"/>
  <c r="AD153" i="1"/>
  <c r="AD189" i="1"/>
  <c r="AD11" i="1"/>
  <c r="AD212" i="1"/>
  <c r="AD24" i="1"/>
  <c r="AD84" i="1"/>
  <c r="AD140" i="1"/>
  <c r="AD176" i="1"/>
  <c r="AD200" i="1"/>
  <c r="AD211" i="1"/>
  <c r="AD128" i="1"/>
  <c r="X3" i="1"/>
  <c r="AD202" i="1"/>
  <c r="X29" i="1"/>
  <c r="X65" i="1"/>
  <c r="X101" i="1"/>
  <c r="X133" i="1"/>
  <c r="AD145" i="1"/>
  <c r="X169" i="1"/>
  <c r="X205" i="1"/>
  <c r="X6" i="1"/>
  <c r="X19" i="1"/>
  <c r="AD31" i="1"/>
  <c r="X43" i="1"/>
  <c r="X55" i="1"/>
  <c r="AD79" i="1"/>
  <c r="AD91" i="1"/>
  <c r="AD103" i="1"/>
  <c r="X115" i="1"/>
  <c r="X123" i="1"/>
  <c r="AD135" i="1"/>
  <c r="X147" i="1"/>
  <c r="X159" i="1"/>
  <c r="AD171" i="1"/>
  <c r="AD183" i="1"/>
  <c r="X195" i="1"/>
  <c r="AD7" i="1"/>
  <c r="X18" i="1"/>
  <c r="AD30" i="1"/>
  <c r="AD42" i="1"/>
  <c r="X54" i="1"/>
  <c r="AD66" i="1"/>
  <c r="X78" i="1"/>
  <c r="X90" i="1"/>
  <c r="X114" i="1"/>
  <c r="X122" i="1"/>
  <c r="AD134" i="1"/>
  <c r="AD146" i="1"/>
  <c r="X158" i="1"/>
  <c r="AD170" i="1"/>
  <c r="AD182" i="1"/>
  <c r="X194" i="1"/>
  <c r="AD206" i="1"/>
  <c r="AD93" i="1"/>
  <c r="AD185" i="1"/>
  <c r="AD197" i="1"/>
  <c r="AD20" i="1"/>
  <c r="AD68" i="1"/>
  <c r="AD104" i="1"/>
  <c r="AD196" i="1"/>
  <c r="AD10" i="1"/>
  <c r="AD139" i="1"/>
  <c r="AD187" i="1"/>
  <c r="AD70" i="1"/>
  <c r="AD82" i="1"/>
  <c r="AD94" i="1"/>
  <c r="AD106" i="1"/>
  <c r="AD150" i="1"/>
  <c r="AD25" i="1"/>
  <c r="AD37" i="1"/>
  <c r="AD49" i="1"/>
  <c r="AD97" i="1"/>
  <c r="AD109" i="1"/>
  <c r="AD129" i="1"/>
  <c r="AD201" i="1"/>
  <c r="AD208" i="1"/>
  <c r="AD48" i="1"/>
  <c r="AD72" i="1"/>
  <c r="AD152" i="1"/>
  <c r="AD164" i="1"/>
  <c r="X28" i="1"/>
  <c r="X64" i="1"/>
  <c r="X100" i="1"/>
  <c r="X132" i="1"/>
  <c r="X168" i="1"/>
  <c r="X204" i="1"/>
  <c r="AD80" i="1"/>
  <c r="AD124" i="1"/>
  <c r="AD172" i="1"/>
  <c r="AD184" i="1"/>
  <c r="AD47" i="1"/>
  <c r="AD59" i="1"/>
  <c r="AD83" i="1"/>
  <c r="AD126" i="1"/>
  <c r="AD138" i="1"/>
  <c r="AD198" i="1"/>
  <c r="X206" i="1"/>
  <c r="AD147" i="1"/>
  <c r="AD60" i="1"/>
  <c r="AD96" i="1"/>
  <c r="X2" i="1"/>
  <c r="X14" i="1"/>
  <c r="X27" i="1"/>
  <c r="X39" i="1"/>
  <c r="X51" i="1"/>
  <c r="X63" i="1"/>
  <c r="X75" i="1"/>
  <c r="X87" i="1"/>
  <c r="X99" i="1"/>
  <c r="X111" i="1"/>
  <c r="X119" i="1"/>
  <c r="X131" i="1"/>
  <c r="X143" i="1"/>
  <c r="X155" i="1"/>
  <c r="X167" i="1"/>
  <c r="X179" i="1"/>
  <c r="X191" i="1"/>
  <c r="X203" i="1"/>
  <c r="AD19" i="1"/>
  <c r="X15" i="1"/>
  <c r="X26" i="1"/>
  <c r="X38" i="1"/>
  <c r="X50" i="1"/>
  <c r="X62" i="1"/>
  <c r="X74" i="1"/>
  <c r="X86" i="1"/>
  <c r="X98" i="1"/>
  <c r="X110" i="1"/>
  <c r="X118" i="1"/>
  <c r="X130" i="1"/>
  <c r="X142" i="1"/>
  <c r="X154" i="1"/>
  <c r="X166" i="1"/>
  <c r="X178" i="1"/>
  <c r="X190" i="1"/>
  <c r="X202" i="1"/>
  <c r="AD6" i="1"/>
  <c r="X31" i="1"/>
  <c r="AD55" i="1"/>
  <c r="AD67" i="1"/>
  <c r="X103" i="1"/>
  <c r="AD115" i="1"/>
  <c r="AD123" i="1"/>
  <c r="X135" i="1"/>
  <c r="AD159" i="1"/>
  <c r="X171" i="1"/>
  <c r="AD207" i="1"/>
  <c r="AD62" i="1"/>
  <c r="AD4" i="1"/>
  <c r="AD17" i="1"/>
  <c r="AD29" i="1"/>
  <c r="AD41" i="1"/>
  <c r="X53" i="1"/>
  <c r="AD65" i="1"/>
  <c r="AD77" i="1"/>
  <c r="AD89" i="1"/>
  <c r="AD101" i="1"/>
  <c r="AD113" i="1"/>
  <c r="AD121" i="1"/>
  <c r="AD133" i="1"/>
  <c r="X145" i="1"/>
  <c r="AD157" i="1"/>
  <c r="AD169" i="1"/>
  <c r="AD181" i="1"/>
  <c r="X193" i="1"/>
  <c r="AD205" i="1"/>
  <c r="X30" i="1"/>
  <c r="X66" i="1"/>
  <c r="X102" i="1"/>
  <c r="X134" i="1"/>
  <c r="X170" i="1"/>
  <c r="AD5" i="1"/>
  <c r="AD16" i="1"/>
  <c r="AD28" i="1"/>
  <c r="X40" i="1"/>
  <c r="X52" i="1"/>
  <c r="X76" i="1"/>
  <c r="X88" i="1"/>
  <c r="X112" i="1"/>
  <c r="X120" i="1"/>
  <c r="AD132" i="1"/>
  <c r="X144" i="1"/>
  <c r="X156" i="1"/>
  <c r="AD168" i="1"/>
  <c r="X180" i="1"/>
  <c r="X192" i="1"/>
  <c r="AD204" i="1"/>
  <c r="AD32" i="1"/>
  <c r="AD125" i="1"/>
  <c r="AD173" i="1"/>
  <c r="AD2" i="1"/>
  <c r="AD191" i="1"/>
  <c r="AD64" i="1"/>
  <c r="AD100" i="1"/>
  <c r="AD193" i="1"/>
  <c r="AD167" i="1"/>
  <c r="AD130" i="1"/>
  <c r="AD178" i="1"/>
  <c r="AD102" i="1"/>
  <c r="X67" i="1"/>
  <c r="X207" i="1"/>
  <c r="AD63" i="1"/>
  <c r="AD180" i="1"/>
  <c r="AD38" i="1"/>
  <c r="AD154" i="1"/>
  <c r="AD75" i="1"/>
  <c r="AD15" i="1"/>
  <c r="AD26" i="1"/>
  <c r="AD144" i="1"/>
  <c r="AD190" i="1"/>
  <c r="AD40" i="1"/>
  <c r="AD76" i="1"/>
  <c r="AD112" i="1"/>
  <c r="AD156" i="1"/>
  <c r="X4" i="1"/>
  <c r="X41" i="1"/>
  <c r="X77" i="1"/>
  <c r="X113" i="1"/>
  <c r="X181" i="1"/>
  <c r="AD179" i="1"/>
  <c r="AD51" i="1"/>
  <c r="AD78" i="1"/>
  <c r="AD114" i="1"/>
  <c r="X5" i="1"/>
  <c r="AD27" i="1"/>
  <c r="AD39" i="1"/>
  <c r="AD43" i="1"/>
  <c r="AD53" i="1"/>
  <c r="AD131" i="1"/>
  <c r="AD166" i="1"/>
  <c r="AD120" i="1"/>
  <c r="X8" i="1"/>
  <c r="X21" i="1"/>
  <c r="X32" i="1"/>
  <c r="X45" i="1"/>
  <c r="X57" i="1"/>
  <c r="X69" i="1"/>
  <c r="X81" i="1"/>
  <c r="X93" i="1"/>
  <c r="X105" i="1"/>
  <c r="X211" i="1"/>
  <c r="X125" i="1"/>
  <c r="X137" i="1"/>
  <c r="X149" i="1"/>
  <c r="X161" i="1"/>
  <c r="X173" i="1"/>
  <c r="X185" i="1"/>
  <c r="X197" i="1"/>
  <c r="X209" i="1"/>
  <c r="X79" i="1"/>
  <c r="X183" i="1"/>
  <c r="AD195" i="1"/>
  <c r="AD209" i="1"/>
  <c r="AD137" i="1"/>
  <c r="AD52" i="1"/>
  <c r="AD50" i="1"/>
  <c r="AD118" i="1"/>
  <c r="X9" i="1"/>
  <c r="X20" i="1"/>
  <c r="X33" i="1"/>
  <c r="X44" i="1"/>
  <c r="X56" i="1"/>
  <c r="X68" i="1"/>
  <c r="X80" i="1"/>
  <c r="X92" i="1"/>
  <c r="X104" i="1"/>
  <c r="X210" i="1"/>
  <c r="X124" i="1"/>
  <c r="X136" i="1"/>
  <c r="X148" i="1"/>
  <c r="X160" i="1"/>
  <c r="X172" i="1"/>
  <c r="X184" i="1"/>
  <c r="X196" i="1"/>
  <c r="X7" i="1"/>
  <c r="X42" i="1"/>
  <c r="X146" i="1"/>
  <c r="X182" i="1"/>
  <c r="AD203" i="1"/>
  <c r="AD111" i="1"/>
  <c r="AD3" i="1"/>
  <c r="AD69" i="1"/>
  <c r="AD110" i="1"/>
  <c r="AD194" i="1"/>
  <c r="AD54" i="1"/>
  <c r="AD86" i="1"/>
  <c r="AD136" i="1"/>
  <c r="X10" i="1"/>
  <c r="X23" i="1"/>
  <c r="X35" i="1"/>
  <c r="X47" i="1"/>
  <c r="X59" i="1"/>
  <c r="X71" i="1"/>
  <c r="X83" i="1"/>
  <c r="X95" i="1"/>
  <c r="X107" i="1"/>
  <c r="X213" i="1"/>
  <c r="X127" i="1"/>
  <c r="X139" i="1"/>
  <c r="X151" i="1"/>
  <c r="X163" i="1"/>
  <c r="X175" i="1"/>
  <c r="X187" i="1"/>
  <c r="X199" i="1"/>
  <c r="X17" i="1"/>
  <c r="X89" i="1"/>
  <c r="X121" i="1"/>
  <c r="X157" i="1"/>
  <c r="AD21" i="1"/>
  <c r="AD81" i="1"/>
  <c r="AD87" i="1"/>
  <c r="AD105" i="1"/>
  <c r="AD71" i="1"/>
  <c r="AD155" i="1"/>
  <c r="AD18" i="1"/>
  <c r="AD158" i="1"/>
  <c r="AD56" i="1"/>
  <c r="AD88" i="1"/>
  <c r="AD192" i="1"/>
  <c r="X11" i="1"/>
  <c r="X22" i="1"/>
  <c r="X34" i="1"/>
  <c r="X46" i="1"/>
  <c r="X58" i="1"/>
  <c r="X70" i="1"/>
  <c r="X82" i="1"/>
  <c r="X94" i="1"/>
  <c r="X106" i="1"/>
  <c r="X212" i="1"/>
  <c r="X126" i="1"/>
  <c r="X138" i="1"/>
  <c r="X150" i="1"/>
  <c r="X162" i="1"/>
  <c r="X174" i="1"/>
  <c r="X186" i="1"/>
  <c r="X198" i="1"/>
  <c r="X16" i="1"/>
  <c r="AD14" i="1"/>
  <c r="AD149" i="1"/>
  <c r="AD107" i="1"/>
  <c r="AD119" i="1"/>
  <c r="AD74" i="1"/>
  <c r="AD161" i="1"/>
  <c r="AD162" i="1"/>
  <c r="AD174" i="1"/>
  <c r="AD58" i="1"/>
  <c r="AD90" i="1"/>
  <c r="AD142" i="1"/>
  <c r="X12" i="1"/>
  <c r="X25" i="1"/>
  <c r="X37" i="1"/>
  <c r="X49" i="1"/>
  <c r="X61" i="1"/>
  <c r="X73" i="1"/>
  <c r="X85" i="1"/>
  <c r="X97" i="1"/>
  <c r="X109" i="1"/>
  <c r="X117" i="1"/>
  <c r="X129" i="1"/>
  <c r="X141" i="1"/>
  <c r="X153" i="1"/>
  <c r="X165" i="1"/>
  <c r="X177" i="1"/>
  <c r="X189" i="1"/>
  <c r="X201" i="1"/>
  <c r="X91" i="1"/>
  <c r="AD45" i="1"/>
  <c r="AD177" i="1"/>
  <c r="AD95" i="1"/>
  <c r="AD117" i="1"/>
  <c r="AD122" i="1"/>
  <c r="AD8" i="1"/>
  <c r="AD165" i="1"/>
  <c r="AD22" i="1"/>
  <c r="AD34" i="1"/>
  <c r="AD186" i="1"/>
  <c r="X13" i="1"/>
  <c r="X24" i="1"/>
  <c r="X36" i="1"/>
  <c r="X48" i="1"/>
  <c r="X60" i="1"/>
  <c r="X72" i="1"/>
  <c r="X84" i="1"/>
  <c r="X96" i="1"/>
  <c r="X108" i="1"/>
  <c r="X116" i="1"/>
  <c r="X128" i="1"/>
  <c r="X140" i="1"/>
  <c r="X152" i="1"/>
  <c r="X164" i="1"/>
  <c r="X176" i="1"/>
  <c r="X188" i="1"/>
  <c r="X200" i="1"/>
  <c r="AD57" i="1"/>
  <c r="AD23" i="1"/>
  <c r="AD99" i="1"/>
  <c r="AD175" i="1"/>
  <c r="AD143" i="1"/>
  <c r="AD151" i="1"/>
  <c r="AD141" i="1"/>
  <c r="AD13" i="1"/>
  <c r="AD92" i="1"/>
  <c r="AD36" i="1"/>
  <c r="AD188" i="1"/>
  <c r="AD98" i="1"/>
  <c r="AD14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List of Australian Open men's singles champions" description="Connection to the 'List of Australian Open men's singles champions' query in the workbook." type="5" refreshedVersion="0" background="1" saveData="1">
    <dbPr connection="Provider=Microsoft.Mashup.OleDb.1;Data Source=$Workbook$;Location=&quot;List of Australian Open men's singles champions&quot;;Extended Properties=&quot;&quot;" command="SELECT * FROM [List of Australian Open men's singles champions]"/>
  </connection>
  <connection id="2" xr16:uid="{00000000-0015-0000-FFFF-FFFF01000000}" keepAlive="1" name="Query - List of Australian Open women's singles champions" description="Connection to the 'List of Australian Open women's singles champions' query in the workbook." type="5" refreshedVersion="0" background="1">
    <dbPr connection="Provider=Microsoft.Mashup.OleDb.1;Data Source=$Workbook$;Location=&quot;List of Australian Open women's singles champions&quot;;Extended Properties=&quot;&quot;" command="SELECT * FROM [List of Australian Open women's singles champions]"/>
  </connection>
  <connection id="3" xr16:uid="{00000000-0015-0000-FFFF-FFFF02000000}" keepAlive="1" name="Query - win rate" description="Connection to the 'win rate' query in the workbook." type="5" refreshedVersion="0" background="1" saveData="1">
    <dbPr connection="Provider=Microsoft.Mashup.OleDb.1;Data Source=$Workbook$;Location=&quot;win rate&quot;;Extended Properties=&quot;&quot;" command="SELECT * FROM [win rate]"/>
  </connection>
  <connection id="4" xr16:uid="{00000000-0015-0000-FFFF-FFFF03000000}" keepAlive="1" name="Query - win rate (2)" description="Connection to the 'win rate (2)' query in the workbook." type="5" refreshedVersion="0" background="1" saveData="1">
    <dbPr connection="Provider=Microsoft.Mashup.OleDb.1;Data Source=$Workbook$;Location=&quot;win rate (2)&quot;;Extended Properties=&quot;&quot;" command="SELECT * FROM [win rate (2)]"/>
  </connection>
  <connection id="5" xr16:uid="{00000000-0015-0000-FFFF-FFFF04000000}" keepAlive="1" name="Query - win rate (3)" description="Connection to the 'win rate (3)' query in the workbook." type="5" refreshedVersion="0" background="1" saveData="1">
    <dbPr connection="Provider=Microsoft.Mashup.OleDb.1;Data Source=$Workbook$;Location=&quot;win rate (3)&quot;;Extended Properties=&quot;&quot;" command="SELECT * FROM [win rate (3)]"/>
  </connection>
</connections>
</file>

<file path=xl/sharedStrings.xml><?xml version="1.0" encoding="utf-8"?>
<sst xmlns="http://schemas.openxmlformats.org/spreadsheetml/2006/main" count="3681" uniqueCount="582">
  <si>
    <t>Year</t>
  </si>
  <si>
    <t>Gender</t>
  </si>
  <si>
    <t>Champion</t>
  </si>
  <si>
    <t>Champion Nationality</t>
  </si>
  <si>
    <t>Champion Country</t>
  </si>
  <si>
    <t>Score</t>
  </si>
  <si>
    <t>Runner-up</t>
  </si>
  <si>
    <t>Runner-up Nationality</t>
  </si>
  <si>
    <t>Runner-up Country</t>
  </si>
  <si>
    <t>1905</t>
  </si>
  <si>
    <t>Rodney Heath</t>
  </si>
  <si>
    <t>Albert Curtis</t>
  </si>
  <si>
    <t>4–6, 6–3, 6–4, 6–4</t>
  </si>
  <si>
    <t>1906</t>
  </si>
  <si>
    <t>Anthony Wilding</t>
  </si>
  <si>
    <t>Francis Fisher</t>
  </si>
  <si>
    <t>6–0, 6–4, 6–4</t>
  </si>
  <si>
    <t>1907</t>
  </si>
  <si>
    <t>Horace Rice</t>
  </si>
  <si>
    <t>Harry Parker</t>
  </si>
  <si>
    <t>6–3, 6–4, 6–4</t>
  </si>
  <si>
    <t>1908</t>
  </si>
  <si>
    <t>Fred Alexander</t>
  </si>
  <si>
    <t>Alfred Dunlop</t>
  </si>
  <si>
    <t>3–6, 3–6, 6–0, 6–2, 6–3</t>
  </si>
  <si>
    <t>1909</t>
  </si>
  <si>
    <t>Ernie Parker</t>
  </si>
  <si>
    <t>6–1, 7–5, 6–2</t>
  </si>
  <si>
    <t>1910</t>
  </si>
  <si>
    <t>6–4, 6–3, 6–2</t>
  </si>
  <si>
    <t>1911</t>
  </si>
  <si>
    <t>Norman Brookes</t>
  </si>
  <si>
    <t>6–1, 6–2, 6–3</t>
  </si>
  <si>
    <t>1912</t>
  </si>
  <si>
    <t>James Cecil Parke</t>
  </si>
  <si>
    <t>Alfred Beamish</t>
  </si>
  <si>
    <t>3–6, 6–3, 1–6, 6–1, 7–5</t>
  </si>
  <si>
    <t>1913</t>
  </si>
  <si>
    <t>2–6, 6–1, 6–3, 6–2</t>
  </si>
  <si>
    <t>1914</t>
  </si>
  <si>
    <t>Arthur O'Hara Wood</t>
  </si>
  <si>
    <t>Gerald Patterson</t>
  </si>
  <si>
    <t>6–4, 6–3, 5–7, 6–1</t>
  </si>
  <si>
    <t>1915</t>
  </si>
  <si>
    <t>Gordon Lowe</t>
  </si>
  <si>
    <t>4–6, 6–1, 6–1, 6–4</t>
  </si>
  <si>
    <t>1919</t>
  </si>
  <si>
    <t>Algernon Kingscote</t>
  </si>
  <si>
    <t>Eric Pockley</t>
  </si>
  <si>
    <t>6–4, 6–0, 6–3</t>
  </si>
  <si>
    <t>1920</t>
  </si>
  <si>
    <t>Pat O'Hara Wood</t>
  </si>
  <si>
    <t>Ronald Thomas</t>
  </si>
  <si>
    <t>6–3, 4–6, 6–8, 6–1, 6–3</t>
  </si>
  <si>
    <t>1921</t>
  </si>
  <si>
    <t>Rhys Gemmell</t>
  </si>
  <si>
    <t>Alf Hedeman</t>
  </si>
  <si>
    <t>7–5, 6–1, 6–4</t>
  </si>
  <si>
    <t>1922</t>
  </si>
  <si>
    <t>James Anderson</t>
  </si>
  <si>
    <t>6–0, 3–6, 3–6, 6–3, 6–2</t>
  </si>
  <si>
    <t>1923</t>
  </si>
  <si>
    <t>Bert St. John</t>
  </si>
  <si>
    <t>6–1, 6–1, 6–3</t>
  </si>
  <si>
    <t>1924</t>
  </si>
  <si>
    <t>Richard Schlesinger</t>
  </si>
  <si>
    <t>6–3, 6–4, 3–6, 5–7, 6–3</t>
  </si>
  <si>
    <t>1925</t>
  </si>
  <si>
    <t>11–9, 2–6, 6–2, 6–3</t>
  </si>
  <si>
    <t>1926</t>
  </si>
  <si>
    <t>John Hawkes</t>
  </si>
  <si>
    <t>James Willard</t>
  </si>
  <si>
    <t>6–1, 6–3, 6–1</t>
  </si>
  <si>
    <t>1927</t>
  </si>
  <si>
    <t>3–6, 6–4, 3–6, 18–16, 6–3</t>
  </si>
  <si>
    <t>1928</t>
  </si>
  <si>
    <t>Jean Borotra</t>
  </si>
  <si>
    <t>Jack Cummings</t>
  </si>
  <si>
    <t>6–4, 6–1, 4–6, 5–7, 6–3</t>
  </si>
  <si>
    <t>1929</t>
  </si>
  <si>
    <t>John Colin Gregory</t>
  </si>
  <si>
    <t>6–2, 6–2, 5–7, 7–5</t>
  </si>
  <si>
    <t>1930</t>
  </si>
  <si>
    <t>Edgar Moon</t>
  </si>
  <si>
    <t>Harry Hopman</t>
  </si>
  <si>
    <t>6–3, 6–1, 6–3</t>
  </si>
  <si>
    <t>1931</t>
  </si>
  <si>
    <t>Jack Crawford</t>
  </si>
  <si>
    <t>6–4, 6–2, 2–6, 6–1</t>
  </si>
  <si>
    <t>1932</t>
  </si>
  <si>
    <t>4–6, 6–3, 3–6, 6–3, 6–1</t>
  </si>
  <si>
    <t>1933</t>
  </si>
  <si>
    <t>Keith Gledhill</t>
  </si>
  <si>
    <t>2–6, 7–5, 6–3, 6–2</t>
  </si>
  <si>
    <t>1934</t>
  </si>
  <si>
    <t>Fred Perry</t>
  </si>
  <si>
    <t>6–3, 7–5, 6–1</t>
  </si>
  <si>
    <t>1935</t>
  </si>
  <si>
    <t>2–6, 6–4, 6–4, 6–4</t>
  </si>
  <si>
    <t>1936</t>
  </si>
  <si>
    <t>Adrian Quist</t>
  </si>
  <si>
    <t>6–2, 6–3, 4–6, 3–6, 9–7</t>
  </si>
  <si>
    <t>1937</t>
  </si>
  <si>
    <t>Vivian McGrath</t>
  </si>
  <si>
    <t>John Bromwich</t>
  </si>
  <si>
    <t>6–3, 1–6, 6–0, 2–6, 6–1</t>
  </si>
  <si>
    <t>1938</t>
  </si>
  <si>
    <t>Don Budge</t>
  </si>
  <si>
    <t>6–4, 6–2, 6–1</t>
  </si>
  <si>
    <t>1939</t>
  </si>
  <si>
    <t>6–4, 6–1, 6–3</t>
  </si>
  <si>
    <t>1940</t>
  </si>
  <si>
    <t>6–3, 6–1, 6–2</t>
  </si>
  <si>
    <t>1946</t>
  </si>
  <si>
    <t>Dinny Pails</t>
  </si>
  <si>
    <t>5–7, 6–3, 7–5, 3–6, 6–2</t>
  </si>
  <si>
    <t>1947</t>
  </si>
  <si>
    <t>4–6, 6–4, 3–6, 7–5, 8–6</t>
  </si>
  <si>
    <t>1948</t>
  </si>
  <si>
    <t>6–4, 3–6, 6–3, 2–6, 6–3</t>
  </si>
  <si>
    <t>1949</t>
  </si>
  <si>
    <t>Frank Sedgman</t>
  </si>
  <si>
    <t>6–3, 6–2, 6–2</t>
  </si>
  <si>
    <t>1950</t>
  </si>
  <si>
    <t>Ken McGregor</t>
  </si>
  <si>
    <t>6–3, 6–4, 4–6, 6–1</t>
  </si>
  <si>
    <t>1951</t>
  </si>
  <si>
    <t>Dick Savitt</t>
  </si>
  <si>
    <t>6–3, 2–6, 6–3, 6–1</t>
  </si>
  <si>
    <t>1952</t>
  </si>
  <si>
    <t>7–5, 12–10, 2–6, 6–2</t>
  </si>
  <si>
    <t>1953</t>
  </si>
  <si>
    <t>Ken Rosewall</t>
  </si>
  <si>
    <t>Mervyn Rose</t>
  </si>
  <si>
    <t>6–0, 6–3, 6–4</t>
  </si>
  <si>
    <t>1954</t>
  </si>
  <si>
    <t>Rex Hartwig</t>
  </si>
  <si>
    <t>6–2, 0–6, 6–4, 6–2</t>
  </si>
  <si>
    <t>1955</t>
  </si>
  <si>
    <t>Lew Hoad</t>
  </si>
  <si>
    <t>9–7, 6–4, 6–4</t>
  </si>
  <si>
    <t>1956</t>
  </si>
  <si>
    <t>6–4, 3–6, 6–4, 7–5</t>
  </si>
  <si>
    <t>1957</t>
  </si>
  <si>
    <t>Ashley Cooper</t>
  </si>
  <si>
    <t>Neale Fraser</t>
  </si>
  <si>
    <t>6–3, 9–11, 6–4, 6–2</t>
  </si>
  <si>
    <t>1958</t>
  </si>
  <si>
    <t>Malcolm Anderson</t>
  </si>
  <si>
    <t>7–5, 6–3, 6–4</t>
  </si>
  <si>
    <t>1959</t>
  </si>
  <si>
    <t>6–1, 6–2, 3–6, 6–3</t>
  </si>
  <si>
    <t>1960</t>
  </si>
  <si>
    <t>Rod Laver</t>
  </si>
  <si>
    <t>5–7, 3–6, 6–3, 8–6, 8–6</t>
  </si>
  <si>
    <t>1961</t>
  </si>
  <si>
    <t>Roy Emerson</t>
  </si>
  <si>
    <t>1–6, 6–3, 7–5, 6–4</t>
  </si>
  <si>
    <t>1962</t>
  </si>
  <si>
    <t>8–6, 0–6, 6–4, 6–4</t>
  </si>
  <si>
    <t>1963</t>
  </si>
  <si>
    <t>Ken Fletcher</t>
  </si>
  <si>
    <t>6–3, 6–3, 6–1</t>
  </si>
  <si>
    <t>1964</t>
  </si>
  <si>
    <t>Fred Stolle</t>
  </si>
  <si>
    <t>6–3, 6–4, 6–2</t>
  </si>
  <si>
    <t>1965</t>
  </si>
  <si>
    <t>7–9, 2–6, 6–4, 7–5, 6–1</t>
  </si>
  <si>
    <t>1966</t>
  </si>
  <si>
    <t>Arthur Ashe</t>
  </si>
  <si>
    <t>6–4, 6–8, 6–2, 6–3</t>
  </si>
  <si>
    <t>1967</t>
  </si>
  <si>
    <t>6–4, 6–1, 6–4</t>
  </si>
  <si>
    <t>1968</t>
  </si>
  <si>
    <t>Juan Gisbert</t>
  </si>
  <si>
    <t>7–5, 2–6, 9–7, 6–4</t>
  </si>
  <si>
    <t>1969</t>
  </si>
  <si>
    <t>Andrés Gimeno</t>
  </si>
  <si>
    <t>6–3, 6–4, 7–5</t>
  </si>
  <si>
    <t>1970</t>
  </si>
  <si>
    <t>Dick Crealy</t>
  </si>
  <si>
    <t>6–4, 9–7, 6–2</t>
  </si>
  <si>
    <t>1971</t>
  </si>
  <si>
    <t>6–1, 7–5, 6–3</t>
  </si>
  <si>
    <t>1972</t>
  </si>
  <si>
    <t>1973</t>
  </si>
  <si>
    <t>John Newcombe</t>
  </si>
  <si>
    <t>Onny Parun</t>
  </si>
  <si>
    <t>6–3, 6–7, 7–5, 6–1</t>
  </si>
  <si>
    <t>1974</t>
  </si>
  <si>
    <t>Jimmy Connors</t>
  </si>
  <si>
    <t>Phil Dent</t>
  </si>
  <si>
    <t>1975</t>
  </si>
  <si>
    <t>1976</t>
  </si>
  <si>
    <t>Mark Edmondson</t>
  </si>
  <si>
    <t>6–7, 6–3, 7–6, 6–1</t>
  </si>
  <si>
    <t>Roscoe Tanner</t>
  </si>
  <si>
    <t>Guillermo Vilas</t>
  </si>
  <si>
    <t>6–3, 6–3, 6–3</t>
  </si>
  <si>
    <t>Vitas Gerulaitis</t>
  </si>
  <si>
    <t>John Lloyd</t>
  </si>
  <si>
    <t>1978</t>
  </si>
  <si>
    <t>John Marks</t>
  </si>
  <si>
    <t>6–4, 6–4, 3–6, 6–3</t>
  </si>
  <si>
    <t>1979</t>
  </si>
  <si>
    <t>John Sadri</t>
  </si>
  <si>
    <t>1980</t>
  </si>
  <si>
    <t>Brian Teacher</t>
  </si>
  <si>
    <t>Kim Warwick</t>
  </si>
  <si>
    <t>1981</t>
  </si>
  <si>
    <t>Johan Kriek</t>
  </si>
  <si>
    <t>Steve Denton</t>
  </si>
  <si>
    <t>1982</t>
  </si>
  <si>
    <t>6–3, 6–3, 6–2</t>
  </si>
  <si>
    <t>1983</t>
  </si>
  <si>
    <t>Mats Wilander</t>
  </si>
  <si>
    <t>Ivan Lendl</t>
  </si>
  <si>
    <t>6–1, 6–4, 6–4</t>
  </si>
  <si>
    <t>1984</t>
  </si>
  <si>
    <t>Kevin Curren</t>
  </si>
  <si>
    <t>1985</t>
  </si>
  <si>
    <t>Stefan Edberg</t>
  </si>
  <si>
    <t>6–4, 6–3, 6–3</t>
  </si>
  <si>
    <t>1987</t>
  </si>
  <si>
    <t>Pat Cash</t>
  </si>
  <si>
    <t>1988</t>
  </si>
  <si>
    <t>1989</t>
  </si>
  <si>
    <t>Miloslav Mečíř</t>
  </si>
  <si>
    <t>6–2, 6–2, 6–2</t>
  </si>
  <si>
    <t>1990</t>
  </si>
  <si>
    <t>1991</t>
  </si>
  <si>
    <t>Boris Becker</t>
  </si>
  <si>
    <t>1–6, 6–4, 6–4, 6–4</t>
  </si>
  <si>
    <t>1992</t>
  </si>
  <si>
    <t>Jim Courier</t>
  </si>
  <si>
    <t>6–3, 3–6, 6–4, 6–2</t>
  </si>
  <si>
    <t>1993</t>
  </si>
  <si>
    <t>6–2, 6–1, 2–6, 7–5</t>
  </si>
  <si>
    <t>1994</t>
  </si>
  <si>
    <t>Pete Sampras</t>
  </si>
  <si>
    <t>Todd Martin</t>
  </si>
  <si>
    <t>1995</t>
  </si>
  <si>
    <t>Andre Agassi</t>
  </si>
  <si>
    <t>1996</t>
  </si>
  <si>
    <t>Michael Chang</t>
  </si>
  <si>
    <t>6–2, 6–4, 2–6, 6–2</t>
  </si>
  <si>
    <t>1997</t>
  </si>
  <si>
    <t>Carlos Moyá</t>
  </si>
  <si>
    <t>6–2, 6–3, 6–3</t>
  </si>
  <si>
    <t>1998</t>
  </si>
  <si>
    <t>Petr Korda</t>
  </si>
  <si>
    <t>Marcelo Ríos</t>
  </si>
  <si>
    <t>1999</t>
  </si>
  <si>
    <t>Yevgeny Kafelnikov</t>
  </si>
  <si>
    <t>Thomas Enqvist</t>
  </si>
  <si>
    <t>2000</t>
  </si>
  <si>
    <t>3–6, 6–3, 6–2, 6–4</t>
  </si>
  <si>
    <t>2001</t>
  </si>
  <si>
    <t>Arnaud Clément</t>
  </si>
  <si>
    <t>6–4, 6–2, 6–2</t>
  </si>
  <si>
    <t>2002</t>
  </si>
  <si>
    <t>Thomas Johansson</t>
  </si>
  <si>
    <t>Marat Safin</t>
  </si>
  <si>
    <t>2003</t>
  </si>
  <si>
    <t>Rainer Schüttler</t>
  </si>
  <si>
    <t>6–2, 6–2, 6–1</t>
  </si>
  <si>
    <t>2004</t>
  </si>
  <si>
    <t>Roger Federer</t>
  </si>
  <si>
    <t>2005</t>
  </si>
  <si>
    <t>Lleyton Hewitt</t>
  </si>
  <si>
    <t>1–6, 6–3, 6–4, 6–4</t>
  </si>
  <si>
    <t>2006</t>
  </si>
  <si>
    <t>Marcos Baghdatis</t>
  </si>
  <si>
    <t>5–7, 7–5, 6–0, 6–2</t>
  </si>
  <si>
    <t>2007</t>
  </si>
  <si>
    <t>Fernando González</t>
  </si>
  <si>
    <t>2008</t>
  </si>
  <si>
    <t>Novak Djokovic</t>
  </si>
  <si>
    <t>Jo-Wilfried Tsonga</t>
  </si>
  <si>
    <t>2009</t>
  </si>
  <si>
    <t>Rafael Nadal</t>
  </si>
  <si>
    <t>2010</t>
  </si>
  <si>
    <t>Andy Murray</t>
  </si>
  <si>
    <t>2011</t>
  </si>
  <si>
    <t>6–4, 6–2, 6–3</t>
  </si>
  <si>
    <t>2012</t>
  </si>
  <si>
    <t>2013</t>
  </si>
  <si>
    <t>2014</t>
  </si>
  <si>
    <t>Stan Wawrinka</t>
  </si>
  <si>
    <t>6–3, 6–2, 3–6, 6–3</t>
  </si>
  <si>
    <t>2015</t>
  </si>
  <si>
    <t>2016</t>
  </si>
  <si>
    <t>2017</t>
  </si>
  <si>
    <t>6–4, 3–6, 6–1, 3–6, 6–3</t>
  </si>
  <si>
    <t>2018</t>
  </si>
  <si>
    <t>Marin Čilić</t>
  </si>
  <si>
    <t>2019</t>
  </si>
  <si>
    <t>6–3, 6–2, 6–3</t>
  </si>
  <si>
    <t>2020</t>
  </si>
  <si>
    <t>Dominic Thiem</t>
  </si>
  <si>
    <t>6–4, 4–6, 2–6, 6–3, 6–4</t>
  </si>
  <si>
    <t>2021</t>
  </si>
  <si>
    <t>Daniil Medvedev</t>
  </si>
  <si>
    <t>7–5, 6–2, 6–2</t>
  </si>
  <si>
    <t>2022</t>
  </si>
  <si>
    <t>Men's</t>
  </si>
  <si>
    <t>Margaret Molesworth</t>
  </si>
  <si>
    <t>Esna Boyd</t>
  </si>
  <si>
    <t>6–3, 10–8</t>
  </si>
  <si>
    <t>6–1, 7–5</t>
  </si>
  <si>
    <t>Sylvia Lance Harper</t>
  </si>
  <si>
    <t>6–3, 3–6, 8–6</t>
  </si>
  <si>
    <t>Daphne Akhurst</t>
  </si>
  <si>
    <t>1–6, 8–6, 6–4</t>
  </si>
  <si>
    <t>6–1, 6–3</t>
  </si>
  <si>
    <t>5–7, 6–1, 6–2</t>
  </si>
  <si>
    <t>7–5, 6–2</t>
  </si>
  <si>
    <t>Louie Bickerton</t>
  </si>
  <si>
    <t>6–1, 5–7, 6–2</t>
  </si>
  <si>
    <t>10–8, 2–6, 7–5</t>
  </si>
  <si>
    <t>Coral Buttsworth</t>
  </si>
  <si>
    <t>Marjorie Cox Crawford</t>
  </si>
  <si>
    <t>1–6, 6–3, 6–4</t>
  </si>
  <si>
    <t>Kathleen Le Messurier</t>
  </si>
  <si>
    <t>9–7, 6–4</t>
  </si>
  <si>
    <t>Joan Hartigan</t>
  </si>
  <si>
    <t>6–4, 6–3</t>
  </si>
  <si>
    <t>6–1, 6–4</t>
  </si>
  <si>
    <t>Dorothy Round</t>
  </si>
  <si>
    <t>Nancy Lyle</t>
  </si>
  <si>
    <t>1–6, 6–1, 6–3</t>
  </si>
  <si>
    <t>Nancye Wynne Bolton</t>
  </si>
  <si>
    <t>6–4, 6–4</t>
  </si>
  <si>
    <t>Emily Hood Westacott</t>
  </si>
  <si>
    <t>6–3, 5–7, 6–4</t>
  </si>
  <si>
    <t>Dorothy Cheney</t>
  </si>
  <si>
    <t>Dorothy Stevenson</t>
  </si>
  <si>
    <t>6–3, 6–2</t>
  </si>
  <si>
    <t>Nell Hall Hopman</t>
  </si>
  <si>
    <t>6–1, 6–2</t>
  </si>
  <si>
    <t>Thelma Coyne Long</t>
  </si>
  <si>
    <t>5–7, 6–4, 6–0</t>
  </si>
  <si>
    <t>Joyce Fitch</t>
  </si>
  <si>
    <t>Marie Toomey</t>
  </si>
  <si>
    <t>6–3, 6–1</t>
  </si>
  <si>
    <t>Doris Hart</t>
  </si>
  <si>
    <t>6–3, 6–4</t>
  </si>
  <si>
    <t>Louise Brough</t>
  </si>
  <si>
    <t>6–4, 3–6, 6–4</t>
  </si>
  <si>
    <t>Helen Angwin</t>
  </si>
  <si>
    <t>6–2, 6–3</t>
  </si>
  <si>
    <t>Maureen Connolly</t>
  </si>
  <si>
    <t>Julia Sampson Hayward</t>
  </si>
  <si>
    <t>Jenny Staley</t>
  </si>
  <si>
    <t>Beryl Penrose</t>
  </si>
  <si>
    <t>Mary Carter Reitano</t>
  </si>
  <si>
    <t>3–6, 6–2, 9–7</t>
  </si>
  <si>
    <t>Shirley Fry Irvin</t>
  </si>
  <si>
    <t>Althea Gibson</t>
  </si>
  <si>
    <t>Angela Mortimer</t>
  </si>
  <si>
    <t>Lorraine Coghlan</t>
  </si>
  <si>
    <t>Renée Schuurman</t>
  </si>
  <si>
    <t>Jan Lehane</t>
  </si>
  <si>
    <t>6–0, 6–2</t>
  </si>
  <si>
    <t>6–2, 6–2</t>
  </si>
  <si>
    <t>Lesley Turner Bowrey</t>
  </si>
  <si>
    <t>Maria Bueno</t>
  </si>
  <si>
    <t>5–7, 6–4, 5–2, retired</t>
  </si>
  <si>
    <t>Nancy Richey</t>
  </si>
  <si>
    <t>walkover</t>
  </si>
  <si>
    <t>Billie Jean King</t>
  </si>
  <si>
    <t>Margaret Court</t>
  </si>
  <si>
    <t>6–4, 6–1</t>
  </si>
  <si>
    <t>Evonne Goolagong</t>
  </si>
  <si>
    <t>Virginia Wade</t>
  </si>
  <si>
    <t>6–4, 7–5</t>
  </si>
  <si>
    <t>Chris Evert</t>
  </si>
  <si>
    <t>Renáta Tomanová</t>
  </si>
  <si>
    <t>Kerry Melville Reid</t>
  </si>
  <si>
    <t>Dianne Fromholtz</t>
  </si>
  <si>
    <t>Helen Gourlay</t>
  </si>
  <si>
    <t>6–3, 6–0</t>
  </si>
  <si>
    <t>Chris O'Neil</t>
  </si>
  <si>
    <t>Betsy Nagelsen</t>
  </si>
  <si>
    <t>Barbara Jordan</t>
  </si>
  <si>
    <t>Sharon Walsh</t>
  </si>
  <si>
    <t>6–3, 6–3</t>
  </si>
  <si>
    <t>Hana Mandlíková</t>
  </si>
  <si>
    <t>Wendy Turnbull</t>
  </si>
  <si>
    <t>6–0, 7–5</t>
  </si>
  <si>
    <t>Martina Navratilova</t>
  </si>
  <si>
    <t>6–3, 2–6, 6–3</t>
  </si>
  <si>
    <t>Kathy Jordan</t>
  </si>
  <si>
    <t>Helena Suková</t>
  </si>
  <si>
    <t>6–2, 4–6, 6–2</t>
  </si>
  <si>
    <t>Steffi Graf</t>
  </si>
  <si>
    <t>Mary Joe Fernández</t>
  </si>
  <si>
    <t>Monica Seles</t>
  </si>
  <si>
    <t>Jana Novotná</t>
  </si>
  <si>
    <t>5–7, 6–3, 6–1</t>
  </si>
  <si>
    <t>4–6, 6–3, 6–2</t>
  </si>
  <si>
    <t>Arantxa Sánchez Vicario</t>
  </si>
  <si>
    <t>Mary Pierce</t>
  </si>
  <si>
    <t>Anke Huber</t>
  </si>
  <si>
    <t>Martina Hingis</t>
  </si>
  <si>
    <t>Conchita Martínez</t>
  </si>
  <si>
    <t>Amélie Mauresmo</t>
  </si>
  <si>
    <t>Lindsay Davenport</t>
  </si>
  <si>
    <t>Jennifer Capriati</t>
  </si>
  <si>
    <t>Serena Williams</t>
  </si>
  <si>
    <t>Venus Williams</t>
  </si>
  <si>
    <t>Justine Henin</t>
  </si>
  <si>
    <t>Kim Clijsters</t>
  </si>
  <si>
    <t>6–3, 4–6, 6–3</t>
  </si>
  <si>
    <t>2–6, 6–3, 6–0</t>
  </si>
  <si>
    <t>6–1, 2–0 retired</t>
  </si>
  <si>
    <t>Maria Sharapova</t>
  </si>
  <si>
    <t>Ana Ivanovic</t>
  </si>
  <si>
    <t>7–5, 6–3</t>
  </si>
  <si>
    <t>Dinara Safina</t>
  </si>
  <si>
    <t>6–0, 6–3</t>
  </si>
  <si>
    <t>6–4, 3–6, 6–2</t>
  </si>
  <si>
    <t>Li Na</t>
  </si>
  <si>
    <t>3–6, 6–3, 6–3</t>
  </si>
  <si>
    <t>Victoria Azarenka</t>
  </si>
  <si>
    <t>4–6, 6–4, 6–3</t>
  </si>
  <si>
    <t>Dominika Cibulková</t>
  </si>
  <si>
    <t>Angelique Kerber</t>
  </si>
  <si>
    <t>Caroline Wozniacki</t>
  </si>
  <si>
    <t>Simona Halep</t>
  </si>
  <si>
    <t>Naomi Osaka</t>
  </si>
  <si>
    <t>Petra Kvitová</t>
  </si>
  <si>
    <t>Sofia Kenin</t>
  </si>
  <si>
    <t>Garbiñe Muguruza</t>
  </si>
  <si>
    <t>4–6, 6–2, 6–2</t>
  </si>
  <si>
    <t>Jennifer Brady</t>
  </si>
  <si>
    <t>Ashleigh Barty</t>
  </si>
  <si>
    <t>Danielle Collins</t>
  </si>
  <si>
    <t>Women's</t>
  </si>
  <si>
    <t>1977-(2)</t>
  </si>
  <si>
    <t>1977-(1)</t>
  </si>
  <si>
    <t>Yugoslavia</t>
  </si>
  <si>
    <t>United States</t>
  </si>
  <si>
    <t>Sweden</t>
  </si>
  <si>
    <t>Serbia</t>
  </si>
  <si>
    <t>Russia</t>
  </si>
  <si>
    <t>South Africa</t>
  </si>
  <si>
    <t>New Zealand</t>
  </si>
  <si>
    <t>Japan</t>
  </si>
  <si>
    <t>Germany</t>
  </si>
  <si>
    <t>United Kingdom</t>
  </si>
  <si>
    <t>GER</t>
  </si>
  <si>
    <t>France</t>
  </si>
  <si>
    <t>Spain</t>
  </si>
  <si>
    <t>Denmark</t>
  </si>
  <si>
    <t>Czechia</t>
  </si>
  <si>
    <t>China</t>
  </si>
  <si>
    <t>GBR</t>
  </si>
  <si>
    <t>Belarus</t>
  </si>
  <si>
    <t>Belgium</t>
  </si>
  <si>
    <t>Australia</t>
  </si>
  <si>
    <t>Argentina</t>
  </si>
  <si>
    <t>Switzerland</t>
  </si>
  <si>
    <t>ESP</t>
  </si>
  <si>
    <t>AUS</t>
  </si>
  <si>
    <t>SRB</t>
  </si>
  <si>
    <t>JPN</t>
  </si>
  <si>
    <t>USA</t>
  </si>
  <si>
    <t>DEN</t>
  </si>
  <si>
    <t>SUI</t>
  </si>
  <si>
    <t>CHN</t>
  </si>
  <si>
    <t>BLR</t>
  </si>
  <si>
    <t>BEL</t>
  </si>
  <si>
    <t>RUS</t>
  </si>
  <si>
    <t>FRA</t>
  </si>
  <si>
    <t>SWE</t>
  </si>
  <si>
    <t>CZE</t>
  </si>
  <si>
    <t>YUG</t>
  </si>
  <si>
    <t>RSA</t>
  </si>
  <si>
    <t>ARG</t>
  </si>
  <si>
    <t>NZL</t>
  </si>
  <si>
    <t>AUT</t>
  </si>
  <si>
    <t>ROU</t>
  </si>
  <si>
    <t>CRO</t>
  </si>
  <si>
    <t>SVK</t>
  </si>
  <si>
    <t>CHI</t>
  </si>
  <si>
    <t>CYP</t>
  </si>
  <si>
    <t>BRA</t>
  </si>
  <si>
    <t>Slovakia</t>
  </si>
  <si>
    <t>Romania</t>
  </si>
  <si>
    <t>Croatia</t>
  </si>
  <si>
    <t>Cyprus</t>
  </si>
  <si>
    <t>Chile</t>
  </si>
  <si>
    <t>Brazil</t>
  </si>
  <si>
    <t>Austria</t>
  </si>
  <si>
    <t>Alex Olmedo</t>
  </si>
  <si>
    <t>1st-won</t>
  </si>
  <si>
    <t>1st-loss</t>
  </si>
  <si>
    <t>2nd-won</t>
  </si>
  <si>
    <t>2nd-loss</t>
  </si>
  <si>
    <t>3rd-won</t>
  </si>
  <si>
    <t>3rd-loss</t>
  </si>
  <si>
    <t>4th-won</t>
  </si>
  <si>
    <t>4th-loss</t>
  </si>
  <si>
    <t>5th-won</t>
  </si>
  <si>
    <t>5th-loss</t>
  </si>
  <si>
    <t>7–6(7–2), 6–3, 7–5</t>
  </si>
  <si>
    <t>7–6(9–7), 6–4, 4–6, 6–3</t>
  </si>
  <si>
    <t>7–5, 3–6, 6–4, 7–6(9–7)</t>
  </si>
  <si>
    <t>6–3, 7–6(7–1), 5–7, 3–6, 6–2</t>
  </si>
  <si>
    <t>7–6(7–4), 6–3, 6–2</t>
  </si>
  <si>
    <t>7–5, 7–6(7–4), 6–2</t>
  </si>
  <si>
    <t>6–2, 7–6(7–1), 6–7(1–7), 6–4</t>
  </si>
  <si>
    <t>6–7(5–7), 6–4, 7–6(7–3), 6–2</t>
  </si>
  <si>
    <t>6–3, 6–7(3–7), 3–6, 6–1, 8–6</t>
  </si>
  <si>
    <t>4–6, 7–6(7–3), 5–2 retired[k]</t>
  </si>
  <si>
    <t>7–6(7–4), 6–4, 6–4</t>
  </si>
  <si>
    <t>4–6, 6–1, 7–6(8–6), 6–4</t>
  </si>
  <si>
    <t>4–6, 6–0, 6–3, 7–6(7–1)</t>
  </si>
  <si>
    <t>3–6, 6–4, 6–4, 7–6(7–4)</t>
  </si>
  <si>
    <t>7–6(7–3), 6–4, 6–2</t>
  </si>
  <si>
    <t>7–6(7–2), 6–4, 6–4</t>
  </si>
  <si>
    <t>4–6, 6–4, 6–3, 7–6(7–2)</t>
  </si>
  <si>
    <t>7–5, 3–6, 7–6(7–3), 3–6, 6–2</t>
  </si>
  <si>
    <t>6–3, 6–4, 7–6(13–11)</t>
  </si>
  <si>
    <t>5–7, 6–4, 6–2, 6–7(5–7), 7–5</t>
  </si>
  <si>
    <t>6–7(2–7), 7–6(7–3), 6–3, 6–2</t>
  </si>
  <si>
    <t>7–6(7–5), 6–7(4–7), 6–3, 6–0</t>
  </si>
  <si>
    <t>6–1, 7–5, 7–6(7–3)</t>
  </si>
  <si>
    <t>6–2, 6–7(5–7), 6–3, 3–6, 6–1</t>
  </si>
  <si>
    <t>2–6, 6–7(5–7), 6–4, 6–4, 7–5</t>
  </si>
  <si>
    <t>2–6, 7–6(7–0), 7–5</t>
  </si>
  <si>
    <t>7–6(7–5), 4–6, 6–0</t>
  </si>
  <si>
    <t>6–3, 7–6(7–3)</t>
  </si>
  <si>
    <t>6–7(7–4), 6–4, 7–5</t>
  </si>
  <si>
    <t>6–2, 7–6(7–5)</t>
  </si>
  <si>
    <t>6–7(4–7), 6–1, 6–3</t>
  </si>
  <si>
    <t>7–5, 7–6(7–1)</t>
  </si>
  <si>
    <t>6–1, 7–6(7–3)</t>
  </si>
  <si>
    <t>4–6, 7–6(9–7), 6–2</t>
  </si>
  <si>
    <t>7–6(7–4), 3–6, 6–4</t>
  </si>
  <si>
    <t>7–6(7–3), 6–0</t>
  </si>
  <si>
    <t>6–3, 7–6(7–5)</t>
  </si>
  <si>
    <t>7–6(7–2), 3–6, 6–4</t>
  </si>
  <si>
    <t>7–6(7–2), 5–7, 6–4</t>
  </si>
  <si>
    <t>6–3, 7–6(7–2)</t>
  </si>
  <si>
    <t>6-3, 7-6(7-4), 7-6(7-5)</t>
  </si>
  <si>
    <t>Aryna Sabalenka</t>
  </si>
  <si>
    <t>Elena Rybakina</t>
  </si>
  <si>
    <t>KAZ</t>
  </si>
  <si>
    <t>Stefanos Tsitsipas</t>
  </si>
  <si>
    <t>GRE</t>
  </si>
  <si>
    <t>Greece</t>
  </si>
  <si>
    <t>Kazakhstan</t>
  </si>
  <si>
    <t>4-6, 6-3, 6-4</t>
  </si>
  <si>
    <t>6-3, 6-2</t>
  </si>
  <si>
    <t>Qinwen Zheng</t>
  </si>
  <si>
    <t>ITA</t>
  </si>
  <si>
    <t>Italy</t>
  </si>
  <si>
    <t>3-6.3-6.6-4.6-4.6-3</t>
  </si>
  <si>
    <t>CAE</t>
  </si>
  <si>
    <t>Champion Seed</t>
  </si>
  <si>
    <t>Runner-up Seed</t>
  </si>
  <si>
    <t>U</t>
  </si>
  <si>
    <t>Bill Bowrey</t>
  </si>
  <si>
    <t>Jannik Sinner</t>
  </si>
  <si>
    <t>2025</t>
  </si>
  <si>
    <t>6-3,7-6,6-3</t>
  </si>
  <si>
    <t>Alexander Zverev</t>
  </si>
  <si>
    <t>Madison Keys</t>
  </si>
  <si>
    <t>6-3,2-6,7-5</t>
  </si>
  <si>
    <t>Total Wins</t>
  </si>
  <si>
    <t>Win rate</t>
  </si>
  <si>
    <t>Total Games played</t>
  </si>
  <si>
    <t>1st Set Win Rate</t>
  </si>
  <si>
    <t>2nd Set Win rate</t>
  </si>
  <si>
    <t>3rd set Win Rate</t>
  </si>
  <si>
    <t>4th set Win Rate</t>
  </si>
  <si>
    <t>5th set Win Rate</t>
  </si>
  <si>
    <t xml:space="preserve">Count </t>
  </si>
  <si>
    <t>Total win rate</t>
  </si>
  <si>
    <t>Among the champion countries, Australia overwhelmingly leads with 94 wins, followed by the United States with 44. This significant gap highlights Australia's historical dominance in the Australian Open women's championship.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</si>
</sst>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124"/>
      <name val="Arial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2" borderId="1" xfId="0" applyNumberFormat="1" applyFill="1" applyBorder="1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3" borderId="1" xfId="0" applyFill="1" applyBorder="1"/>
    <xf numFmtId="0" fontId="0" fillId="4" borderId="1" xfId="0" applyFill="1" applyBorder="1"/>
    <xf numFmtId="0" fontId="2" fillId="3" borderId="1" xfId="0" applyFont="1" applyFill="1" applyBorder="1"/>
    <xf numFmtId="0" fontId="1" fillId="0" borderId="1" xfId="0" applyFont="1" applyBorder="1" applyAlignment="1">
      <alignment horizontal="right"/>
    </xf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wrapText="1"/>
    </xf>
    <xf numFmtId="10" fontId="0" fillId="0" borderId="0" xfId="0" applyNumberFormat="1"/>
    <xf numFmtId="10" fontId="0" fillId="0" borderId="1" xfId="0" applyNumberFormat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10" fontId="1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Champion</a:t>
            </a:r>
            <a:r>
              <a:rPr lang="en-GB" baseline="0"/>
              <a:t>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Nationality!$A$2:$A$22</c:f>
              <c:strCache>
                <c:ptCount val="21"/>
                <c:pt idx="0">
                  <c:v>Australia</c:v>
                </c:pt>
                <c:pt idx="1">
                  <c:v>United States</c:v>
                </c:pt>
                <c:pt idx="2">
                  <c:v>Switzerland</c:v>
                </c:pt>
                <c:pt idx="3">
                  <c:v>Serbia</c:v>
                </c:pt>
                <c:pt idx="4">
                  <c:v>United Kingdom</c:v>
                </c:pt>
                <c:pt idx="5">
                  <c:v>Germany</c:v>
                </c:pt>
                <c:pt idx="6">
                  <c:v>Sweden</c:v>
                </c:pt>
                <c:pt idx="7">
                  <c:v>Czechia</c:v>
                </c:pt>
                <c:pt idx="8">
                  <c:v>Belarus</c:v>
                </c:pt>
                <c:pt idx="9">
                  <c:v>France</c:v>
                </c:pt>
                <c:pt idx="10">
                  <c:v>Yugoslavia</c:v>
                </c:pt>
                <c:pt idx="11">
                  <c:v>Russia</c:v>
                </c:pt>
                <c:pt idx="12">
                  <c:v>Japan</c:v>
                </c:pt>
                <c:pt idx="13">
                  <c:v>Belgium</c:v>
                </c:pt>
                <c:pt idx="14">
                  <c:v>New Zealand</c:v>
                </c:pt>
                <c:pt idx="15">
                  <c:v>Italy</c:v>
                </c:pt>
                <c:pt idx="16">
                  <c:v>Argentina</c:v>
                </c:pt>
                <c:pt idx="17">
                  <c:v>Spain</c:v>
                </c:pt>
                <c:pt idx="18">
                  <c:v>China</c:v>
                </c:pt>
                <c:pt idx="19">
                  <c:v>Denmark</c:v>
                </c:pt>
                <c:pt idx="20">
                  <c:v>South Africa</c:v>
                </c:pt>
              </c:strCache>
            </c:strRef>
          </c:cat>
          <c:val>
            <c:numRef>
              <c:f>Nationality!$B$2:$B$22</c:f>
              <c:numCache>
                <c:formatCode>General</c:formatCode>
                <c:ptCount val="21"/>
                <c:pt idx="0">
                  <c:v>94</c:v>
                </c:pt>
                <c:pt idx="1">
                  <c:v>44</c:v>
                </c:pt>
                <c:pt idx="2">
                  <c:v>10</c:v>
                </c:pt>
                <c:pt idx="3">
                  <c:v>10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7-5E4E-8713-0C257813D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6061359"/>
        <c:axId val="216063071"/>
      </c:barChart>
      <c:catAx>
        <c:axId val="21606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63071"/>
        <c:crosses val="autoZero"/>
        <c:auto val="1"/>
        <c:lblAlgn val="ctr"/>
        <c:lblOffset val="100"/>
        <c:noMultiLvlLbl val="0"/>
      </c:catAx>
      <c:valAx>
        <c:axId val="21606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6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Runner-up</a:t>
            </a:r>
            <a:r>
              <a:rPr lang="en-GB" baseline="0"/>
              <a:t>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Nationality!$L$2:$L$22</c:f>
              <c:strCache>
                <c:ptCount val="21"/>
                <c:pt idx="0">
                  <c:v>Australia</c:v>
                </c:pt>
                <c:pt idx="1">
                  <c:v>United States</c:v>
                </c:pt>
                <c:pt idx="2">
                  <c:v>Spain</c:v>
                </c:pt>
                <c:pt idx="3">
                  <c:v>Russia</c:v>
                </c:pt>
                <c:pt idx="4">
                  <c:v>United Kingdom</c:v>
                </c:pt>
                <c:pt idx="5">
                  <c:v>Czechia</c:v>
                </c:pt>
                <c:pt idx="6">
                  <c:v>Sweden</c:v>
                </c:pt>
                <c:pt idx="7">
                  <c:v>Switzerland</c:v>
                </c:pt>
                <c:pt idx="8">
                  <c:v>Germany</c:v>
                </c:pt>
                <c:pt idx="9">
                  <c:v>France</c:v>
                </c:pt>
                <c:pt idx="10">
                  <c:v>New Zealand</c:v>
                </c:pt>
                <c:pt idx="11">
                  <c:v>Belgium</c:v>
                </c:pt>
                <c:pt idx="12">
                  <c:v>China</c:v>
                </c:pt>
                <c:pt idx="13">
                  <c:v>South Africa</c:v>
                </c:pt>
                <c:pt idx="14">
                  <c:v>Serbia</c:v>
                </c:pt>
                <c:pt idx="15">
                  <c:v>Belarus</c:v>
                </c:pt>
                <c:pt idx="16">
                  <c:v>Argentina</c:v>
                </c:pt>
                <c:pt idx="17">
                  <c:v>Yugoslavia</c:v>
                </c:pt>
                <c:pt idx="18">
                  <c:v>Japan</c:v>
                </c:pt>
                <c:pt idx="19">
                  <c:v>Italy</c:v>
                </c:pt>
                <c:pt idx="20">
                  <c:v>Denmark</c:v>
                </c:pt>
              </c:strCache>
            </c:strRef>
          </c:cat>
          <c:val>
            <c:numRef>
              <c:f>Nationality!$M$2:$M$22</c:f>
              <c:numCache>
                <c:formatCode>General</c:formatCode>
                <c:ptCount val="21"/>
                <c:pt idx="0">
                  <c:v>98</c:v>
                </c:pt>
                <c:pt idx="1">
                  <c:v>33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8-8441-9067-F5B6DE68E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01904"/>
        <c:axId val="168703616"/>
      </c:barChart>
      <c:catAx>
        <c:axId val="16870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03616"/>
        <c:crosses val="autoZero"/>
        <c:auto val="1"/>
        <c:lblAlgn val="ctr"/>
        <c:lblOffset val="100"/>
        <c:noMultiLvlLbl val="0"/>
      </c:catAx>
      <c:valAx>
        <c:axId val="16870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0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330200</xdr:colOff>
      <xdr:row>9</xdr:row>
      <xdr:rowOff>12700</xdr:rowOff>
    </xdr:from>
    <xdr:to>
      <xdr:col>9</xdr:col>
      <xdr:colOff>76200</xdr:colOff>
      <xdr:row>31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7D941-41BD-9F0F-2532-E9230C6AF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171450</xdr:colOff>
      <xdr:row>7</xdr:row>
      <xdr:rowOff>539750</xdr:rowOff>
    </xdr:from>
    <xdr:to>
      <xdr:col>24</xdr:col>
      <xdr:colOff>469900</xdr:colOff>
      <xdr:row>34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FBFF76-7877-9ADF-C35A-2C4740E0A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3"/>
  <sheetViews>
    <sheetView tabSelected="1" zoomScale="60" zoomScaleNormal="6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W12" sqref="W12"/>
    </sheetView>
  </sheetViews>
  <sheetFormatPr baseColWidth="10" defaultColWidth="8.83203125" defaultRowHeight="15" x14ac:dyDescent="0.2"/>
  <cols>
    <col min="1" max="1" width="8.1640625" bestFit="1" customWidth="1"/>
    <col min="2" max="2" width="9.33203125" bestFit="1" customWidth="1"/>
    <col min="3" max="3" width="20.83203125" bestFit="1" customWidth="1"/>
    <col min="4" max="4" width="20.5" bestFit="1" customWidth="1"/>
    <col min="5" max="5" width="17.6640625" bestFit="1" customWidth="1"/>
    <col min="6" max="6" width="26" bestFit="1" customWidth="1"/>
    <col min="7" max="7" width="15" style="4" customWidth="1"/>
    <col min="8" max="8" width="8.1640625" bestFit="1" customWidth="1"/>
    <col min="9" max="9" width="7.6640625" bestFit="1" customWidth="1"/>
    <col min="11" max="12" width="8.5" bestFit="1" customWidth="1"/>
    <col min="13" max="13" width="8" bestFit="1" customWidth="1"/>
    <col min="14" max="14" width="8.5" bestFit="1" customWidth="1"/>
    <col min="15" max="15" width="8" bestFit="1" customWidth="1"/>
    <col min="16" max="16" width="8.5" bestFit="1" customWidth="1"/>
    <col min="17" max="17" width="8" bestFit="1" customWidth="1"/>
    <col min="18" max="18" width="22.5" bestFit="1" customWidth="1"/>
    <col min="19" max="19" width="21" bestFit="1" customWidth="1"/>
    <col min="20" max="20" width="18.1640625" bestFit="1" customWidth="1"/>
    <col min="21" max="21" width="15.5" style="4" bestFit="1" customWidth="1"/>
    <col min="22" max="22" width="18.83203125" customWidth="1"/>
    <col min="23" max="23" width="21.33203125" customWidth="1"/>
    <col min="25" max="25" width="14.83203125" customWidth="1"/>
    <col min="26" max="26" width="19.1640625" style="25" customWidth="1"/>
    <col min="27" max="27" width="24.83203125" style="25" customWidth="1"/>
    <col min="28" max="28" width="17.1640625" style="25" customWidth="1"/>
    <col min="29" max="29" width="25.5" style="25" customWidth="1"/>
    <col min="30" max="30" width="15.33203125" style="25" customWidth="1"/>
  </cols>
  <sheetData>
    <row r="1" spans="1:30" s="1" customFormat="1" x14ac:dyDescent="0.2">
      <c r="A1" s="3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20" t="s">
        <v>561</v>
      </c>
      <c r="H1" s="8" t="s">
        <v>496</v>
      </c>
      <c r="I1" s="8" t="s">
        <v>497</v>
      </c>
      <c r="J1" s="8" t="s">
        <v>498</v>
      </c>
      <c r="K1" s="8" t="s">
        <v>499</v>
      </c>
      <c r="L1" s="8" t="s">
        <v>500</v>
      </c>
      <c r="M1" s="8" t="s">
        <v>501</v>
      </c>
      <c r="N1" s="8" t="s">
        <v>502</v>
      </c>
      <c r="O1" s="8" t="s">
        <v>503</v>
      </c>
      <c r="P1" s="8" t="s">
        <v>504</v>
      </c>
      <c r="Q1" s="8" t="s">
        <v>505</v>
      </c>
      <c r="R1" s="5" t="s">
        <v>6</v>
      </c>
      <c r="S1" s="5" t="s">
        <v>7</v>
      </c>
      <c r="T1" s="6" t="s">
        <v>8</v>
      </c>
      <c r="U1" s="20" t="s">
        <v>562</v>
      </c>
      <c r="V1" s="27" t="s">
        <v>571</v>
      </c>
      <c r="W1" s="27" t="s">
        <v>573</v>
      </c>
      <c r="X1" s="27" t="s">
        <v>572</v>
      </c>
      <c r="Y1" s="27" t="s">
        <v>574</v>
      </c>
      <c r="Z1" s="28" t="s">
        <v>575</v>
      </c>
      <c r="AA1" s="28" t="s">
        <v>576</v>
      </c>
      <c r="AB1" s="28" t="s">
        <v>577</v>
      </c>
      <c r="AC1" s="28" t="s">
        <v>578</v>
      </c>
      <c r="AD1" s="28" t="s">
        <v>580</v>
      </c>
    </row>
    <row r="2" spans="1:30" s="22" customFormat="1" x14ac:dyDescent="0.2">
      <c r="A2" s="14" t="s">
        <v>9</v>
      </c>
      <c r="B2" s="10" t="s">
        <v>305</v>
      </c>
      <c r="C2" s="10" t="s">
        <v>10</v>
      </c>
      <c r="D2" s="10" t="s">
        <v>464</v>
      </c>
      <c r="E2" s="10" t="s">
        <v>460</v>
      </c>
      <c r="F2" s="10" t="s">
        <v>12</v>
      </c>
      <c r="G2" s="13">
        <v>0</v>
      </c>
      <c r="H2" s="16">
        <v>4</v>
      </c>
      <c r="I2" s="16">
        <v>6</v>
      </c>
      <c r="J2" s="16">
        <v>6</v>
      </c>
      <c r="K2" s="16">
        <v>3</v>
      </c>
      <c r="L2" s="16">
        <v>6</v>
      </c>
      <c r="M2" s="16">
        <v>4</v>
      </c>
      <c r="N2" s="16">
        <v>6</v>
      </c>
      <c r="O2" s="16">
        <v>4</v>
      </c>
      <c r="P2" s="16"/>
      <c r="Q2" s="16"/>
      <c r="R2" s="10" t="s">
        <v>11</v>
      </c>
      <c r="S2" s="10" t="s">
        <v>464</v>
      </c>
      <c r="T2" s="10" t="s">
        <v>460</v>
      </c>
      <c r="U2" s="16"/>
      <c r="V2" s="15">
        <f>H2+J2+L2+N2+P2</f>
        <v>22</v>
      </c>
      <c r="W2" s="15">
        <f>H2+I2+J2+K2+L2+M2+N2+O2+P2+Q2</f>
        <v>39</v>
      </c>
      <c r="X2" s="26">
        <f>V2/W2</f>
        <v>0.5641025641025641</v>
      </c>
      <c r="Y2" s="26">
        <f>H2/(H2+I2)</f>
        <v>0.4</v>
      </c>
      <c r="Z2" s="26">
        <f>J2/(J2+K2)</f>
        <v>0.66666666666666663</v>
      </c>
      <c r="AA2" s="26">
        <f>L3/(L3+M3)</f>
        <v>0.6</v>
      </c>
      <c r="AB2" s="26">
        <f>N2/(N2+O2)</f>
        <v>0.6</v>
      </c>
      <c r="AC2" s="26" t="e">
        <f>P2/(P2+Q2)</f>
        <v>#DIV/0!</v>
      </c>
      <c r="AD2" s="26">
        <f>V2/W2</f>
        <v>0.5641025641025641</v>
      </c>
    </row>
    <row r="3" spans="1:30" s="22" customFormat="1" x14ac:dyDescent="0.2">
      <c r="A3" s="9" t="s">
        <v>13</v>
      </c>
      <c r="B3" s="10" t="s">
        <v>305</v>
      </c>
      <c r="C3" s="11" t="s">
        <v>14</v>
      </c>
      <c r="D3" s="11" t="s">
        <v>480</v>
      </c>
      <c r="E3" s="11" t="s">
        <v>447</v>
      </c>
      <c r="F3" s="11" t="s">
        <v>16</v>
      </c>
      <c r="G3" s="13">
        <v>0</v>
      </c>
      <c r="H3" s="13">
        <v>6</v>
      </c>
      <c r="I3" s="13">
        <v>0</v>
      </c>
      <c r="J3" s="13">
        <v>6</v>
      </c>
      <c r="K3" s="13">
        <v>4</v>
      </c>
      <c r="L3" s="13">
        <v>6</v>
      </c>
      <c r="M3" s="13">
        <v>4</v>
      </c>
      <c r="N3" s="13"/>
      <c r="O3" s="13"/>
      <c r="P3" s="13"/>
      <c r="Q3" s="13"/>
      <c r="R3" s="11" t="s">
        <v>15</v>
      </c>
      <c r="S3" s="11" t="s">
        <v>480</v>
      </c>
      <c r="T3" s="11" t="s">
        <v>447</v>
      </c>
      <c r="U3" s="13"/>
      <c r="V3" s="15">
        <f>H3+J3+L3+N3+P3</f>
        <v>18</v>
      </c>
      <c r="W3" s="15">
        <f>H3+I3+J3+K3+L3+M3+N3+O3+P3+Q3</f>
        <v>26</v>
      </c>
      <c r="X3" s="26">
        <f>V3/W3</f>
        <v>0.69230769230769229</v>
      </c>
      <c r="Y3" s="26">
        <f>H3/(H3+I3)</f>
        <v>1</v>
      </c>
      <c r="Z3" s="26">
        <f>J3/(J3+K3)</f>
        <v>0.6</v>
      </c>
      <c r="AA3" s="26">
        <f>L4/(L4+M4)</f>
        <v>0.6</v>
      </c>
      <c r="AB3" s="26" t="e">
        <f>N3/(N3+O3)</f>
        <v>#DIV/0!</v>
      </c>
      <c r="AC3" s="26" t="e">
        <f>P3/(P3+Q3)</f>
        <v>#DIV/0!</v>
      </c>
      <c r="AD3" s="26">
        <f>V3/W3</f>
        <v>0.69230769230769229</v>
      </c>
    </row>
    <row r="4" spans="1:30" x14ac:dyDescent="0.2">
      <c r="A4" s="14" t="s">
        <v>17</v>
      </c>
      <c r="B4" s="10" t="s">
        <v>305</v>
      </c>
      <c r="C4" s="10" t="s">
        <v>18</v>
      </c>
      <c r="D4" s="10" t="s">
        <v>464</v>
      </c>
      <c r="E4" s="10" t="s">
        <v>460</v>
      </c>
      <c r="F4" s="10" t="s">
        <v>20</v>
      </c>
      <c r="G4" s="13">
        <v>0</v>
      </c>
      <c r="H4" s="16">
        <v>6</v>
      </c>
      <c r="I4" s="16">
        <v>3</v>
      </c>
      <c r="J4" s="16">
        <v>6</v>
      </c>
      <c r="K4" s="16">
        <v>4</v>
      </c>
      <c r="L4" s="16">
        <v>6</v>
      </c>
      <c r="M4" s="16">
        <v>4</v>
      </c>
      <c r="N4" s="16"/>
      <c r="O4" s="16"/>
      <c r="P4" s="16"/>
      <c r="Q4" s="16"/>
      <c r="R4" s="10" t="s">
        <v>19</v>
      </c>
      <c r="S4" s="10" t="s">
        <v>480</v>
      </c>
      <c r="T4" s="10" t="s">
        <v>447</v>
      </c>
      <c r="U4" s="16"/>
      <c r="V4" s="15">
        <f>H4+J4+L4+N4+P4</f>
        <v>18</v>
      </c>
      <c r="W4" s="15">
        <f>H4+I4+J4+K4+L4+M4+N4+O4+P4+Q4</f>
        <v>29</v>
      </c>
      <c r="X4" s="26">
        <f>V4/W4</f>
        <v>0.62068965517241381</v>
      </c>
      <c r="Y4" s="26">
        <f>H4/(H4+I4)</f>
        <v>0.66666666666666663</v>
      </c>
      <c r="Z4" s="26">
        <f>J4/(J4+K4)</f>
        <v>0.6</v>
      </c>
      <c r="AA4" s="26">
        <f>L5/(L5+M5)</f>
        <v>1</v>
      </c>
      <c r="AB4" s="26" t="e">
        <f>N4/(N4+O4)</f>
        <v>#DIV/0!</v>
      </c>
      <c r="AC4" s="26" t="e">
        <f>P4/(P4+Q4)</f>
        <v>#DIV/0!</v>
      </c>
      <c r="AD4" s="26">
        <f>V4/W4</f>
        <v>0.62068965517241381</v>
      </c>
    </row>
    <row r="5" spans="1:30" x14ac:dyDescent="0.2">
      <c r="A5" s="9" t="s">
        <v>21</v>
      </c>
      <c r="B5" s="10" t="s">
        <v>305</v>
      </c>
      <c r="C5" s="11" t="s">
        <v>22</v>
      </c>
      <c r="D5" s="11" t="s">
        <v>467</v>
      </c>
      <c r="E5" s="11" t="s">
        <v>442</v>
      </c>
      <c r="F5" s="11" t="s">
        <v>24</v>
      </c>
      <c r="G5" s="13">
        <v>0</v>
      </c>
      <c r="H5" s="13">
        <v>3</v>
      </c>
      <c r="I5" s="13">
        <v>6</v>
      </c>
      <c r="J5" s="13">
        <v>3</v>
      </c>
      <c r="K5" s="13">
        <v>6</v>
      </c>
      <c r="L5" s="13">
        <v>6</v>
      </c>
      <c r="M5" s="13">
        <v>0</v>
      </c>
      <c r="N5" s="13">
        <v>6</v>
      </c>
      <c r="O5" s="13">
        <v>2</v>
      </c>
      <c r="P5" s="13">
        <v>6</v>
      </c>
      <c r="Q5" s="13">
        <v>3</v>
      </c>
      <c r="R5" s="11" t="s">
        <v>23</v>
      </c>
      <c r="S5" s="11" t="s">
        <v>464</v>
      </c>
      <c r="T5" s="11" t="s">
        <v>460</v>
      </c>
      <c r="U5" s="13"/>
      <c r="V5" s="15">
        <f>H5+J5+L5+N5+P5</f>
        <v>24</v>
      </c>
      <c r="W5" s="15">
        <f>H5+I5+J5+K5+L5+M5+N5+O5+P5+Q5</f>
        <v>41</v>
      </c>
      <c r="X5" s="26">
        <f>V5/W5</f>
        <v>0.58536585365853655</v>
      </c>
      <c r="Y5" s="26">
        <f>H5/(H5+I5)</f>
        <v>0.33333333333333331</v>
      </c>
      <c r="Z5" s="26">
        <f>J5/(J5+K5)</f>
        <v>0.33333333333333331</v>
      </c>
      <c r="AA5" s="26">
        <f>L6/(L6+M6)</f>
        <v>0.75</v>
      </c>
      <c r="AB5" s="26">
        <f>N5/(N5+O5)</f>
        <v>0.75</v>
      </c>
      <c r="AC5" s="26">
        <f>P5/(P5+Q5)</f>
        <v>0.66666666666666663</v>
      </c>
      <c r="AD5" s="26">
        <f>V5/W5</f>
        <v>0.58536585365853655</v>
      </c>
    </row>
    <row r="6" spans="1:30" s="2" customFormat="1" x14ac:dyDescent="0.2">
      <c r="A6" s="14" t="s">
        <v>25</v>
      </c>
      <c r="B6" s="10" t="s">
        <v>305</v>
      </c>
      <c r="C6" s="10" t="s">
        <v>14</v>
      </c>
      <c r="D6" s="10" t="s">
        <v>480</v>
      </c>
      <c r="E6" s="10" t="s">
        <v>447</v>
      </c>
      <c r="F6" s="10" t="s">
        <v>27</v>
      </c>
      <c r="G6" s="13">
        <v>0</v>
      </c>
      <c r="H6" s="16">
        <v>6</v>
      </c>
      <c r="I6" s="16">
        <v>1</v>
      </c>
      <c r="J6" s="16">
        <v>7</v>
      </c>
      <c r="K6" s="16">
        <v>5</v>
      </c>
      <c r="L6" s="16">
        <v>6</v>
      </c>
      <c r="M6" s="16">
        <v>2</v>
      </c>
      <c r="N6" s="16"/>
      <c r="O6" s="16"/>
      <c r="P6" s="16"/>
      <c r="Q6" s="16"/>
      <c r="R6" s="10" t="s">
        <v>26</v>
      </c>
      <c r="S6" s="10" t="s">
        <v>464</v>
      </c>
      <c r="T6" s="10" t="s">
        <v>460</v>
      </c>
      <c r="U6" s="16"/>
      <c r="V6" s="15">
        <f>H6+J6+L6+N6+P6</f>
        <v>19</v>
      </c>
      <c r="W6" s="15">
        <f>H6+I6+J6+K6+L6+M6+N6+O6+P6+Q6</f>
        <v>27</v>
      </c>
      <c r="X6" s="26">
        <f>V6/W6</f>
        <v>0.70370370370370372</v>
      </c>
      <c r="Y6" s="26">
        <f>H6/(H6+I6)</f>
        <v>0.8571428571428571</v>
      </c>
      <c r="Z6" s="26">
        <f>J6/(J6+K6)</f>
        <v>0.58333333333333337</v>
      </c>
      <c r="AA6" s="26">
        <f>L7/(L7+M7)</f>
        <v>0.75</v>
      </c>
      <c r="AB6" s="26" t="e">
        <f>N6/(N6+O6)</f>
        <v>#DIV/0!</v>
      </c>
      <c r="AC6" s="26" t="e">
        <f>P6/(P6+Q6)</f>
        <v>#DIV/0!</v>
      </c>
      <c r="AD6" s="26">
        <f>V6/W6</f>
        <v>0.70370370370370372</v>
      </c>
    </row>
    <row r="7" spans="1:30" s="2" customFormat="1" x14ac:dyDescent="0.2">
      <c r="A7" s="9" t="s">
        <v>28</v>
      </c>
      <c r="B7" s="10" t="s">
        <v>305</v>
      </c>
      <c r="C7" s="11" t="s">
        <v>10</v>
      </c>
      <c r="D7" s="11" t="s">
        <v>464</v>
      </c>
      <c r="E7" s="11" t="s">
        <v>460</v>
      </c>
      <c r="F7" s="11" t="s">
        <v>29</v>
      </c>
      <c r="G7" s="13">
        <v>0</v>
      </c>
      <c r="H7" s="13">
        <v>6</v>
      </c>
      <c r="I7" s="13">
        <v>4</v>
      </c>
      <c r="J7" s="13">
        <v>6</v>
      </c>
      <c r="K7" s="13">
        <v>3</v>
      </c>
      <c r="L7" s="13">
        <v>6</v>
      </c>
      <c r="M7" s="13">
        <v>2</v>
      </c>
      <c r="N7" s="13"/>
      <c r="O7" s="13"/>
      <c r="P7" s="13"/>
      <c r="Q7" s="13"/>
      <c r="R7" s="11" t="s">
        <v>18</v>
      </c>
      <c r="S7" s="11" t="s">
        <v>464</v>
      </c>
      <c r="T7" s="11" t="s">
        <v>460</v>
      </c>
      <c r="U7" s="13"/>
      <c r="V7" s="15">
        <f>H7+J7+L7+N7+P7</f>
        <v>18</v>
      </c>
      <c r="W7" s="15">
        <f>H7+I7+J7+K7+L7+M7+N7+O7+P7+Q7</f>
        <v>27</v>
      </c>
      <c r="X7" s="26">
        <f>V7/W7</f>
        <v>0.66666666666666663</v>
      </c>
      <c r="Y7" s="26">
        <f>H7/(H7+I7)</f>
        <v>0.6</v>
      </c>
      <c r="Z7" s="26">
        <f>J7/(J7+K7)</f>
        <v>0.66666666666666663</v>
      </c>
      <c r="AA7" s="26">
        <f>L8/(L8+M8)</f>
        <v>0.66666666666666663</v>
      </c>
      <c r="AB7" s="26" t="e">
        <f>N7/(N7+O7)</f>
        <v>#DIV/0!</v>
      </c>
      <c r="AC7" s="26" t="e">
        <f>P7/(P7+Q7)</f>
        <v>#DIV/0!</v>
      </c>
      <c r="AD7" s="26">
        <f>V7/W7</f>
        <v>0.66666666666666663</v>
      </c>
    </row>
    <row r="8" spans="1:30" x14ac:dyDescent="0.2">
      <c r="A8" s="14" t="s">
        <v>30</v>
      </c>
      <c r="B8" s="10" t="s">
        <v>305</v>
      </c>
      <c r="C8" s="10" t="s">
        <v>31</v>
      </c>
      <c r="D8" s="10" t="s">
        <v>464</v>
      </c>
      <c r="E8" s="10" t="s">
        <v>460</v>
      </c>
      <c r="F8" s="10" t="s">
        <v>32</v>
      </c>
      <c r="G8" s="13">
        <v>0</v>
      </c>
      <c r="H8" s="16">
        <v>6</v>
      </c>
      <c r="I8" s="16">
        <v>1</v>
      </c>
      <c r="J8" s="16">
        <v>6</v>
      </c>
      <c r="K8" s="16">
        <v>2</v>
      </c>
      <c r="L8" s="16">
        <v>6</v>
      </c>
      <c r="M8" s="16">
        <v>3</v>
      </c>
      <c r="N8" s="16"/>
      <c r="O8" s="16"/>
      <c r="P8" s="16"/>
      <c r="Q8" s="16"/>
      <c r="R8" s="10" t="s">
        <v>18</v>
      </c>
      <c r="S8" s="10" t="s">
        <v>464</v>
      </c>
      <c r="T8" s="10" t="s">
        <v>460</v>
      </c>
      <c r="U8" s="16"/>
      <c r="V8" s="15">
        <f>H8+J8+L8+N8+P8</f>
        <v>18</v>
      </c>
      <c r="W8" s="15">
        <f>H8+I8+J8+K8+L8+M8+N8+O8+P8+Q8</f>
        <v>24</v>
      </c>
      <c r="X8" s="26">
        <f>V8/W8</f>
        <v>0.75</v>
      </c>
      <c r="Y8" s="26">
        <f>H8/(H8+I8)</f>
        <v>0.8571428571428571</v>
      </c>
      <c r="Z8" s="26">
        <f>J8/(J8+K8)</f>
        <v>0.75</v>
      </c>
      <c r="AA8" s="26">
        <f>L9/(L9+M9)</f>
        <v>0.14285714285714285</v>
      </c>
      <c r="AB8" s="26" t="e">
        <f>N8/(N8+O8)</f>
        <v>#DIV/0!</v>
      </c>
      <c r="AC8" s="26" t="e">
        <f>P8/(P8+Q8)</f>
        <v>#DIV/0!</v>
      </c>
      <c r="AD8" s="26">
        <f>V8/W8</f>
        <v>0.75</v>
      </c>
    </row>
    <row r="9" spans="1:30" x14ac:dyDescent="0.2">
      <c r="A9" s="9" t="s">
        <v>33</v>
      </c>
      <c r="B9" s="10" t="s">
        <v>305</v>
      </c>
      <c r="C9" s="11" t="s">
        <v>34</v>
      </c>
      <c r="D9" s="11" t="s">
        <v>457</v>
      </c>
      <c r="E9" s="11" t="s">
        <v>450</v>
      </c>
      <c r="F9" s="11" t="s">
        <v>36</v>
      </c>
      <c r="G9" s="13">
        <v>0</v>
      </c>
      <c r="H9" s="13">
        <v>3</v>
      </c>
      <c r="I9" s="13">
        <v>6</v>
      </c>
      <c r="J9" s="13">
        <v>6</v>
      </c>
      <c r="K9" s="13">
        <v>3</v>
      </c>
      <c r="L9" s="13">
        <v>1</v>
      </c>
      <c r="M9" s="13">
        <v>6</v>
      </c>
      <c r="N9" s="13">
        <v>6</v>
      </c>
      <c r="O9" s="13">
        <v>1</v>
      </c>
      <c r="P9" s="13">
        <v>7</v>
      </c>
      <c r="Q9" s="13">
        <v>5</v>
      </c>
      <c r="R9" s="11" t="s">
        <v>35</v>
      </c>
      <c r="S9" s="11" t="s">
        <v>457</v>
      </c>
      <c r="T9" s="11" t="s">
        <v>450</v>
      </c>
      <c r="U9" s="13"/>
      <c r="V9" s="15">
        <f>H9+J9+L9+N9+P9</f>
        <v>23</v>
      </c>
      <c r="W9" s="15">
        <f>H9+I9+J9+K9+L9+M9+N9+O9+P9+Q9</f>
        <v>44</v>
      </c>
      <c r="X9" s="26">
        <f>V9/W9</f>
        <v>0.52272727272727271</v>
      </c>
      <c r="Y9" s="26">
        <f>H9/(H9+I9)</f>
        <v>0.33333333333333331</v>
      </c>
      <c r="Z9" s="26">
        <f>J9/(J9+K9)</f>
        <v>0.66666666666666663</v>
      </c>
      <c r="AA9" s="26">
        <f>L10/(L10+M10)</f>
        <v>0.66666666666666663</v>
      </c>
      <c r="AB9" s="26">
        <f>N9/(N9+O9)</f>
        <v>0.8571428571428571</v>
      </c>
      <c r="AC9" s="26">
        <f>P9/(P9+Q9)</f>
        <v>0.58333333333333337</v>
      </c>
      <c r="AD9" s="26">
        <f>V9/W9</f>
        <v>0.52272727272727271</v>
      </c>
    </row>
    <row r="10" spans="1:30" x14ac:dyDescent="0.2">
      <c r="A10" s="14" t="s">
        <v>37</v>
      </c>
      <c r="B10" s="10" t="s">
        <v>305</v>
      </c>
      <c r="C10" s="10" t="s">
        <v>26</v>
      </c>
      <c r="D10" s="10" t="s">
        <v>464</v>
      </c>
      <c r="E10" s="10" t="s">
        <v>460</v>
      </c>
      <c r="F10" s="10" t="s">
        <v>38</v>
      </c>
      <c r="G10" s="13">
        <v>0</v>
      </c>
      <c r="H10" s="16">
        <v>2</v>
      </c>
      <c r="I10" s="16">
        <v>6</v>
      </c>
      <c r="J10" s="16">
        <v>6</v>
      </c>
      <c r="K10" s="16">
        <v>1</v>
      </c>
      <c r="L10" s="16">
        <v>6</v>
      </c>
      <c r="M10" s="16">
        <v>3</v>
      </c>
      <c r="N10" s="16">
        <v>6</v>
      </c>
      <c r="O10" s="16">
        <v>2</v>
      </c>
      <c r="P10" s="16"/>
      <c r="Q10" s="16"/>
      <c r="R10" s="10" t="s">
        <v>19</v>
      </c>
      <c r="S10" s="10" t="s">
        <v>480</v>
      </c>
      <c r="T10" s="10" t="s">
        <v>447</v>
      </c>
      <c r="U10" s="16"/>
      <c r="V10" s="15">
        <f>H10+J10+L10+N10+P10</f>
        <v>20</v>
      </c>
      <c r="W10" s="15">
        <f>H10+I10+J10+K10+L10+M10+N10+O10+P10+Q10</f>
        <v>32</v>
      </c>
      <c r="X10" s="26">
        <f>V10/W10</f>
        <v>0.625</v>
      </c>
      <c r="Y10" s="26">
        <f>H10/(H10+I10)</f>
        <v>0.25</v>
      </c>
      <c r="Z10" s="26">
        <f>J10/(J10+K10)</f>
        <v>0.8571428571428571</v>
      </c>
      <c r="AA10" s="26">
        <f>L11/(L11+M11)</f>
        <v>0.41666666666666669</v>
      </c>
      <c r="AB10" s="26">
        <f>N10/(N10+O10)</f>
        <v>0.75</v>
      </c>
      <c r="AC10" s="26" t="e">
        <f>P10/(P10+Q10)</f>
        <v>#DIV/0!</v>
      </c>
      <c r="AD10" s="26">
        <f>V10/W10</f>
        <v>0.625</v>
      </c>
    </row>
    <row r="11" spans="1:30" x14ac:dyDescent="0.2">
      <c r="A11" s="9" t="s">
        <v>39</v>
      </c>
      <c r="B11" s="10" t="s">
        <v>305</v>
      </c>
      <c r="C11" s="11" t="s">
        <v>40</v>
      </c>
      <c r="D11" s="11" t="s">
        <v>464</v>
      </c>
      <c r="E11" s="11" t="s">
        <v>460</v>
      </c>
      <c r="F11" s="11" t="s">
        <v>42</v>
      </c>
      <c r="G11" s="13">
        <v>0</v>
      </c>
      <c r="H11" s="13">
        <v>6</v>
      </c>
      <c r="I11" s="13">
        <v>4</v>
      </c>
      <c r="J11" s="13">
        <v>6</v>
      </c>
      <c r="K11" s="13">
        <v>3</v>
      </c>
      <c r="L11" s="13">
        <v>5</v>
      </c>
      <c r="M11" s="13">
        <v>7</v>
      </c>
      <c r="N11" s="13">
        <v>6</v>
      </c>
      <c r="O11" s="13">
        <v>1</v>
      </c>
      <c r="P11" s="13"/>
      <c r="Q11" s="13"/>
      <c r="R11" s="11" t="s">
        <v>41</v>
      </c>
      <c r="S11" s="11" t="s">
        <v>464</v>
      </c>
      <c r="T11" s="11" t="s">
        <v>460</v>
      </c>
      <c r="U11" s="13"/>
      <c r="V11" s="15">
        <f>H11+J11+L11+N11+P11</f>
        <v>23</v>
      </c>
      <c r="W11" s="15">
        <f>H11+I11+J11+K11+L11+M11+N11+O11+P11+Q11</f>
        <v>38</v>
      </c>
      <c r="X11" s="26">
        <f>V11/W11</f>
        <v>0.60526315789473684</v>
      </c>
      <c r="Y11" s="26">
        <f>H11/(H11+I11)</f>
        <v>0.6</v>
      </c>
      <c r="Z11" s="26">
        <f>J11/(J11+K11)</f>
        <v>0.66666666666666663</v>
      </c>
      <c r="AA11" s="26">
        <f>L12/(L12+M12)</f>
        <v>0.8571428571428571</v>
      </c>
      <c r="AB11" s="26">
        <f>N11/(N11+O11)</f>
        <v>0.8571428571428571</v>
      </c>
      <c r="AC11" s="26" t="e">
        <f>P11/(P11+Q11)</f>
        <v>#DIV/0!</v>
      </c>
      <c r="AD11" s="26">
        <f>V11/W11</f>
        <v>0.60526315789473684</v>
      </c>
    </row>
    <row r="12" spans="1:30" x14ac:dyDescent="0.2">
      <c r="A12" s="14" t="s">
        <v>43</v>
      </c>
      <c r="B12" s="10" t="s">
        <v>305</v>
      </c>
      <c r="C12" s="10" t="s">
        <v>44</v>
      </c>
      <c r="D12" s="10" t="s">
        <v>457</v>
      </c>
      <c r="E12" s="10" t="s">
        <v>450</v>
      </c>
      <c r="F12" s="10" t="s">
        <v>45</v>
      </c>
      <c r="G12" s="13">
        <v>0</v>
      </c>
      <c r="H12" s="16">
        <v>4</v>
      </c>
      <c r="I12" s="16">
        <v>6</v>
      </c>
      <c r="J12" s="16">
        <v>6</v>
      </c>
      <c r="K12" s="16">
        <v>1</v>
      </c>
      <c r="L12" s="16">
        <v>6</v>
      </c>
      <c r="M12" s="16">
        <v>1</v>
      </c>
      <c r="N12" s="16">
        <v>6</v>
      </c>
      <c r="O12" s="16">
        <v>4</v>
      </c>
      <c r="P12" s="16"/>
      <c r="Q12" s="16"/>
      <c r="R12" s="10" t="s">
        <v>18</v>
      </c>
      <c r="S12" s="10" t="s">
        <v>464</v>
      </c>
      <c r="T12" s="10" t="s">
        <v>460</v>
      </c>
      <c r="U12" s="16"/>
      <c r="V12" s="15">
        <f>H12+J12+L12+N12+P12</f>
        <v>22</v>
      </c>
      <c r="W12" s="15">
        <f>H12+I12+J12+K12+L12+M12+N12+O12+P12+Q12</f>
        <v>34</v>
      </c>
      <c r="X12" s="26">
        <f>V12/W12</f>
        <v>0.6470588235294118</v>
      </c>
      <c r="Y12" s="26">
        <f>H12/(H12+I12)</f>
        <v>0.4</v>
      </c>
      <c r="Z12" s="26">
        <f>J12/(J12+K12)</f>
        <v>0.8571428571428571</v>
      </c>
      <c r="AA12" s="26">
        <f>L13/(L13+M13)</f>
        <v>0.66666666666666663</v>
      </c>
      <c r="AB12" s="26">
        <f>N12/(N12+O12)</f>
        <v>0.6</v>
      </c>
      <c r="AC12" s="26" t="e">
        <f>P12/(P12+Q12)</f>
        <v>#DIV/0!</v>
      </c>
      <c r="AD12" s="26">
        <f>V12/W12</f>
        <v>0.6470588235294118</v>
      </c>
    </row>
    <row r="13" spans="1:30" x14ac:dyDescent="0.2">
      <c r="A13" s="9" t="s">
        <v>46</v>
      </c>
      <c r="B13" s="10" t="s">
        <v>305</v>
      </c>
      <c r="C13" s="11" t="s">
        <v>47</v>
      </c>
      <c r="D13" s="11" t="s">
        <v>457</v>
      </c>
      <c r="E13" s="11" t="s">
        <v>450</v>
      </c>
      <c r="F13" s="11" t="s">
        <v>49</v>
      </c>
      <c r="G13" s="13">
        <v>0</v>
      </c>
      <c r="H13" s="13">
        <v>6</v>
      </c>
      <c r="I13" s="13">
        <v>4</v>
      </c>
      <c r="J13" s="13">
        <v>6</v>
      </c>
      <c r="K13" s="13">
        <v>0</v>
      </c>
      <c r="L13" s="13">
        <v>6</v>
      </c>
      <c r="M13" s="13">
        <v>3</v>
      </c>
      <c r="N13" s="13"/>
      <c r="O13" s="13"/>
      <c r="P13" s="13"/>
      <c r="Q13" s="13"/>
      <c r="R13" s="11" t="s">
        <v>48</v>
      </c>
      <c r="S13" s="11" t="s">
        <v>464</v>
      </c>
      <c r="T13" s="11" t="s">
        <v>460</v>
      </c>
      <c r="U13" s="13"/>
      <c r="V13" s="15">
        <f>H13+J13+L13+N13+P13</f>
        <v>18</v>
      </c>
      <c r="W13" s="15">
        <f>H13+I13+J13+K13+L13+M13+N13+O13+P13+Q13</f>
        <v>25</v>
      </c>
      <c r="X13" s="26">
        <f>V13/W13</f>
        <v>0.72</v>
      </c>
      <c r="Y13" s="26">
        <f>H13/(H13+I13)</f>
        <v>0.6</v>
      </c>
      <c r="Z13" s="26">
        <f>J13/(J13+K13)</f>
        <v>1</v>
      </c>
      <c r="AA13" s="26">
        <f>L14/(L14+M14)</f>
        <v>0.42857142857142855</v>
      </c>
      <c r="AB13" s="26" t="e">
        <f>N13/(N13+O13)</f>
        <v>#DIV/0!</v>
      </c>
      <c r="AC13" s="26" t="e">
        <f>P13/(P13+Q13)</f>
        <v>#DIV/0!</v>
      </c>
      <c r="AD13" s="26">
        <f>V13/W13</f>
        <v>0.72</v>
      </c>
    </row>
    <row r="14" spans="1:30" x14ac:dyDescent="0.2">
      <c r="A14" s="14" t="s">
        <v>50</v>
      </c>
      <c r="B14" s="10" t="s">
        <v>305</v>
      </c>
      <c r="C14" s="10" t="s">
        <v>51</v>
      </c>
      <c r="D14" s="10" t="s">
        <v>464</v>
      </c>
      <c r="E14" s="10" t="s">
        <v>460</v>
      </c>
      <c r="F14" s="10" t="s">
        <v>53</v>
      </c>
      <c r="G14" s="13">
        <v>0</v>
      </c>
      <c r="H14" s="16">
        <v>6</v>
      </c>
      <c r="I14" s="16">
        <v>3</v>
      </c>
      <c r="J14" s="16">
        <v>4</v>
      </c>
      <c r="K14" s="16">
        <v>6</v>
      </c>
      <c r="L14" s="16">
        <v>6</v>
      </c>
      <c r="M14" s="16">
        <v>8</v>
      </c>
      <c r="N14" s="16">
        <v>6</v>
      </c>
      <c r="O14" s="16">
        <v>1</v>
      </c>
      <c r="P14" s="16">
        <v>6</v>
      </c>
      <c r="Q14" s="16">
        <v>3</v>
      </c>
      <c r="R14" s="10" t="s">
        <v>52</v>
      </c>
      <c r="S14" s="10" t="s">
        <v>464</v>
      </c>
      <c r="T14" s="10" t="s">
        <v>460</v>
      </c>
      <c r="U14" s="16"/>
      <c r="V14" s="15">
        <f>H14+J14+L14+N14+P14</f>
        <v>28</v>
      </c>
      <c r="W14" s="15">
        <f>H14+I14+J14+K14+L14+M14+N14+O14+P14+Q14</f>
        <v>49</v>
      </c>
      <c r="X14" s="26">
        <f>V14/W14</f>
        <v>0.5714285714285714</v>
      </c>
      <c r="Y14" s="26">
        <f>H14/(H14+I14)</f>
        <v>0.66666666666666663</v>
      </c>
      <c r="Z14" s="26">
        <f>J14/(J14+K14)</f>
        <v>0.4</v>
      </c>
      <c r="AA14" s="26">
        <f>L15/(L15+M15)</f>
        <v>0.6</v>
      </c>
      <c r="AB14" s="26">
        <f>N14/(N14+O14)</f>
        <v>0.8571428571428571</v>
      </c>
      <c r="AC14" s="26">
        <f>P14/(P14+Q14)</f>
        <v>0.66666666666666663</v>
      </c>
      <c r="AD14" s="26">
        <f>V14/W14</f>
        <v>0.5714285714285714</v>
      </c>
    </row>
    <row r="15" spans="1:30" x14ac:dyDescent="0.2">
      <c r="A15" s="9" t="s">
        <v>54</v>
      </c>
      <c r="B15" s="10" t="s">
        <v>305</v>
      </c>
      <c r="C15" s="11" t="s">
        <v>55</v>
      </c>
      <c r="D15" s="11" t="s">
        <v>464</v>
      </c>
      <c r="E15" s="11" t="s">
        <v>460</v>
      </c>
      <c r="F15" s="11" t="s">
        <v>57</v>
      </c>
      <c r="G15" s="13">
        <v>0</v>
      </c>
      <c r="H15" s="13">
        <v>7</v>
      </c>
      <c r="I15" s="13">
        <v>5</v>
      </c>
      <c r="J15" s="13">
        <v>6</v>
      </c>
      <c r="K15" s="13">
        <v>1</v>
      </c>
      <c r="L15" s="13">
        <v>6</v>
      </c>
      <c r="M15" s="13">
        <v>4</v>
      </c>
      <c r="N15" s="13"/>
      <c r="O15" s="13"/>
      <c r="P15" s="13"/>
      <c r="Q15" s="13"/>
      <c r="R15" s="11" t="s">
        <v>56</v>
      </c>
      <c r="S15" s="11" t="s">
        <v>464</v>
      </c>
      <c r="T15" s="11" t="s">
        <v>460</v>
      </c>
      <c r="U15" s="13"/>
      <c r="V15" s="15">
        <f>H15+J15+L15+N15+P15</f>
        <v>19</v>
      </c>
      <c r="W15" s="15">
        <f>H15+I15+J15+K15+L15+M15+N15+O15+P15+Q15</f>
        <v>29</v>
      </c>
      <c r="X15" s="26">
        <f>V15/W15</f>
        <v>0.65517241379310343</v>
      </c>
      <c r="Y15" s="26">
        <f>H15/(H15+I15)</f>
        <v>0.58333333333333337</v>
      </c>
      <c r="Z15" s="26">
        <f>J15/(J15+K15)</f>
        <v>0.8571428571428571</v>
      </c>
      <c r="AA15" s="26" t="e">
        <f>L16/(L16+M16)</f>
        <v>#DIV/0!</v>
      </c>
      <c r="AB15" s="26" t="e">
        <f>N15/(N15+O15)</f>
        <v>#DIV/0!</v>
      </c>
      <c r="AC15" s="26" t="e">
        <f>P15/(P15+Q15)</f>
        <v>#DIV/0!</v>
      </c>
      <c r="AD15" s="26">
        <f>V15/W15</f>
        <v>0.65517241379310343</v>
      </c>
    </row>
    <row r="16" spans="1:30" x14ac:dyDescent="0.2">
      <c r="A16" s="14" t="s">
        <v>58</v>
      </c>
      <c r="B16" s="10" t="s">
        <v>438</v>
      </c>
      <c r="C16" s="10" t="s">
        <v>306</v>
      </c>
      <c r="D16" s="10" t="s">
        <v>464</v>
      </c>
      <c r="E16" s="10" t="s">
        <v>460</v>
      </c>
      <c r="F16" s="10" t="s">
        <v>308</v>
      </c>
      <c r="G16" s="13">
        <v>0</v>
      </c>
      <c r="H16" s="16">
        <v>6</v>
      </c>
      <c r="I16" s="16">
        <v>3</v>
      </c>
      <c r="J16" s="16">
        <v>10</v>
      </c>
      <c r="K16" s="16">
        <v>8</v>
      </c>
      <c r="L16" s="16"/>
      <c r="M16" s="16"/>
      <c r="N16" s="16"/>
      <c r="O16" s="16"/>
      <c r="P16" s="16"/>
      <c r="Q16" s="16"/>
      <c r="R16" s="10" t="s">
        <v>307</v>
      </c>
      <c r="S16" s="10" t="s">
        <v>464</v>
      </c>
      <c r="T16" s="10" t="s">
        <v>460</v>
      </c>
      <c r="U16" s="16"/>
      <c r="V16" s="15">
        <f>H16+J16+L16+N16+P16</f>
        <v>16</v>
      </c>
      <c r="W16" s="15">
        <f>H16+I16+J16+K16+L16+M16+N16+O16+P16+Q16</f>
        <v>27</v>
      </c>
      <c r="X16" s="26">
        <f>V16/W16</f>
        <v>0.59259259259259256</v>
      </c>
      <c r="Y16" s="26">
        <f>H16/(H16+I16)</f>
        <v>0.66666666666666663</v>
      </c>
      <c r="Z16" s="26">
        <f>J16/(J16+K16)</f>
        <v>0.55555555555555558</v>
      </c>
      <c r="AA16" s="26">
        <f>L17/(L17+M17)</f>
        <v>0.33333333333333331</v>
      </c>
      <c r="AB16" s="26" t="e">
        <f>N16/(N16+O16)</f>
        <v>#DIV/0!</v>
      </c>
      <c r="AC16" s="26" t="e">
        <f>P16/(P16+Q16)</f>
        <v>#DIV/0!</v>
      </c>
      <c r="AD16" s="26">
        <f>V16/W16</f>
        <v>0.59259259259259256</v>
      </c>
    </row>
    <row r="17" spans="1:30" x14ac:dyDescent="0.2">
      <c r="A17" s="14" t="s">
        <v>58</v>
      </c>
      <c r="B17" s="10" t="s">
        <v>305</v>
      </c>
      <c r="C17" s="10" t="s">
        <v>59</v>
      </c>
      <c r="D17" s="10" t="s">
        <v>464</v>
      </c>
      <c r="E17" s="10" t="s">
        <v>460</v>
      </c>
      <c r="F17" s="10" t="s">
        <v>60</v>
      </c>
      <c r="G17" s="13">
        <v>0</v>
      </c>
      <c r="H17" s="16">
        <v>6</v>
      </c>
      <c r="I17" s="16">
        <v>0</v>
      </c>
      <c r="J17" s="16">
        <v>3</v>
      </c>
      <c r="K17" s="16">
        <v>6</v>
      </c>
      <c r="L17" s="16">
        <v>3</v>
      </c>
      <c r="M17" s="16">
        <v>6</v>
      </c>
      <c r="N17" s="16">
        <v>6</v>
      </c>
      <c r="O17" s="16">
        <v>3</v>
      </c>
      <c r="P17" s="16">
        <v>6</v>
      </c>
      <c r="Q17" s="16">
        <v>2</v>
      </c>
      <c r="R17" s="10" t="s">
        <v>41</v>
      </c>
      <c r="S17" s="10" t="s">
        <v>464</v>
      </c>
      <c r="T17" s="10" t="s">
        <v>460</v>
      </c>
      <c r="U17" s="16"/>
      <c r="V17" s="15">
        <f>H17+J17+L17+N17+P17</f>
        <v>24</v>
      </c>
      <c r="W17" s="15">
        <f>H17+I17+J17+K17+L17+M17+N17+O17+P17+Q17</f>
        <v>41</v>
      </c>
      <c r="X17" s="26">
        <f>V17/W17</f>
        <v>0.58536585365853655</v>
      </c>
      <c r="Y17" s="26">
        <f>H17/(H17+I17)</f>
        <v>1</v>
      </c>
      <c r="Z17" s="26">
        <f>J17/(J17+K17)</f>
        <v>0.33333333333333331</v>
      </c>
      <c r="AA17" s="26" t="e">
        <f>L18/(L18+M18)</f>
        <v>#DIV/0!</v>
      </c>
      <c r="AB17" s="26">
        <f>N17/(N17+O17)</f>
        <v>0.66666666666666663</v>
      </c>
      <c r="AC17" s="26">
        <f>P17/(P17+Q17)</f>
        <v>0.75</v>
      </c>
      <c r="AD17" s="26">
        <f>V17/W17</f>
        <v>0.58536585365853655</v>
      </c>
    </row>
    <row r="18" spans="1:30" x14ac:dyDescent="0.2">
      <c r="A18" s="9" t="s">
        <v>61</v>
      </c>
      <c r="B18" s="10" t="s">
        <v>438</v>
      </c>
      <c r="C18" s="11" t="s">
        <v>306</v>
      </c>
      <c r="D18" s="11" t="s">
        <v>464</v>
      </c>
      <c r="E18" s="11" t="s">
        <v>460</v>
      </c>
      <c r="F18" s="11" t="s">
        <v>309</v>
      </c>
      <c r="G18" s="13">
        <v>0</v>
      </c>
      <c r="H18" s="13">
        <v>6</v>
      </c>
      <c r="I18" s="13">
        <v>1</v>
      </c>
      <c r="J18" s="13">
        <v>7</v>
      </c>
      <c r="K18" s="13">
        <v>5</v>
      </c>
      <c r="L18" s="13"/>
      <c r="M18" s="13"/>
      <c r="N18" s="13"/>
      <c r="O18" s="13"/>
      <c r="P18" s="13"/>
      <c r="Q18" s="13"/>
      <c r="R18" s="11" t="s">
        <v>307</v>
      </c>
      <c r="S18" s="11" t="s">
        <v>464</v>
      </c>
      <c r="T18" s="11" t="s">
        <v>460</v>
      </c>
      <c r="U18" s="13"/>
      <c r="V18" s="15">
        <f>H18+J18+L18+N18+P18</f>
        <v>13</v>
      </c>
      <c r="W18" s="15">
        <f>H18+I18+J18+K18+L18+M18+N18+O18+P18+Q18</f>
        <v>19</v>
      </c>
      <c r="X18" s="26">
        <f>V18/W18</f>
        <v>0.68421052631578949</v>
      </c>
      <c r="Y18" s="26">
        <f>H18/(H18+I18)</f>
        <v>0.8571428571428571</v>
      </c>
      <c r="Z18" s="26">
        <f>J18/(J18+K18)</f>
        <v>0.58333333333333337</v>
      </c>
      <c r="AA18" s="26">
        <f>L19/(L19+M19)</f>
        <v>0.66666666666666663</v>
      </c>
      <c r="AB18" s="26" t="e">
        <f>N18/(N18+O18)</f>
        <v>#DIV/0!</v>
      </c>
      <c r="AC18" s="26" t="e">
        <f>P18/(P18+Q18)</f>
        <v>#DIV/0!</v>
      </c>
      <c r="AD18" s="26">
        <f>V18/W18</f>
        <v>0.68421052631578949</v>
      </c>
    </row>
    <row r="19" spans="1:30" x14ac:dyDescent="0.2">
      <c r="A19" s="9" t="s">
        <v>61</v>
      </c>
      <c r="B19" s="10" t="s">
        <v>305</v>
      </c>
      <c r="C19" s="11" t="s">
        <v>51</v>
      </c>
      <c r="D19" s="11" t="s">
        <v>464</v>
      </c>
      <c r="E19" s="11" t="s">
        <v>460</v>
      </c>
      <c r="F19" s="11" t="s">
        <v>63</v>
      </c>
      <c r="G19" s="13">
        <v>0</v>
      </c>
      <c r="H19" s="13">
        <v>6</v>
      </c>
      <c r="I19" s="13">
        <v>1</v>
      </c>
      <c r="J19" s="13">
        <v>6</v>
      </c>
      <c r="K19" s="13">
        <v>1</v>
      </c>
      <c r="L19" s="13">
        <v>6</v>
      </c>
      <c r="M19" s="13">
        <v>3</v>
      </c>
      <c r="N19" s="13"/>
      <c r="O19" s="13"/>
      <c r="P19" s="13"/>
      <c r="Q19" s="13"/>
      <c r="R19" s="11" t="s">
        <v>62</v>
      </c>
      <c r="S19" s="11" t="s">
        <v>464</v>
      </c>
      <c r="T19" s="11" t="s">
        <v>460</v>
      </c>
      <c r="U19" s="13"/>
      <c r="V19" s="15">
        <f>H19+J19+L19+N19+P19</f>
        <v>18</v>
      </c>
      <c r="W19" s="15">
        <f>H19+I19+J19+K19+L19+M19+N19+O19+P19+Q19</f>
        <v>23</v>
      </c>
      <c r="X19" s="26">
        <f>V19/W19</f>
        <v>0.78260869565217395</v>
      </c>
      <c r="Y19" s="26">
        <f>H19/(H19+I19)</f>
        <v>0.8571428571428571</v>
      </c>
      <c r="Z19" s="26">
        <f>J19/(J19+K19)</f>
        <v>0.8571428571428571</v>
      </c>
      <c r="AA19" s="26">
        <f>L20/(L20+M20)</f>
        <v>0.5714285714285714</v>
      </c>
      <c r="AB19" s="26" t="e">
        <f>N19/(N19+O19)</f>
        <v>#DIV/0!</v>
      </c>
      <c r="AC19" s="26" t="e">
        <f>P19/(P19+Q19)</f>
        <v>#DIV/0!</v>
      </c>
      <c r="AD19" s="26">
        <f>V19/W19</f>
        <v>0.78260869565217395</v>
      </c>
    </row>
    <row r="20" spans="1:30" x14ac:dyDescent="0.2">
      <c r="A20" s="14" t="s">
        <v>64</v>
      </c>
      <c r="B20" s="10" t="s">
        <v>438</v>
      </c>
      <c r="C20" s="10" t="s">
        <v>310</v>
      </c>
      <c r="D20" s="10" t="s">
        <v>464</v>
      </c>
      <c r="E20" s="10" t="s">
        <v>460</v>
      </c>
      <c r="F20" s="10" t="s">
        <v>311</v>
      </c>
      <c r="G20" s="16">
        <v>3</v>
      </c>
      <c r="H20" s="16">
        <v>6</v>
      </c>
      <c r="I20" s="16">
        <v>3</v>
      </c>
      <c r="J20" s="16">
        <v>3</v>
      </c>
      <c r="K20" s="16">
        <v>6</v>
      </c>
      <c r="L20" s="16">
        <v>8</v>
      </c>
      <c r="M20" s="16">
        <v>6</v>
      </c>
      <c r="N20" s="16"/>
      <c r="O20" s="16"/>
      <c r="P20" s="16"/>
      <c r="Q20" s="16"/>
      <c r="R20" s="10" t="s">
        <v>307</v>
      </c>
      <c r="S20" s="10" t="s">
        <v>464</v>
      </c>
      <c r="T20" s="10" t="s">
        <v>460</v>
      </c>
      <c r="U20" s="16">
        <v>2</v>
      </c>
      <c r="V20" s="15">
        <f>H20+J20+L20+N20+P20</f>
        <v>17</v>
      </c>
      <c r="W20" s="15">
        <f>H20+I20+J20+K20+L20+M20+N20+O20+P20+Q20</f>
        <v>32</v>
      </c>
      <c r="X20" s="26">
        <f>V20/W20</f>
        <v>0.53125</v>
      </c>
      <c r="Y20" s="26">
        <f>H20/(H20+I20)</f>
        <v>0.66666666666666663</v>
      </c>
      <c r="Z20" s="26">
        <f>J20/(J20+K20)</f>
        <v>0.33333333333333331</v>
      </c>
      <c r="AA20" s="26">
        <f>L21/(L21+M21)</f>
        <v>0.33333333333333331</v>
      </c>
      <c r="AB20" s="26" t="e">
        <f>N20/(N20+O20)</f>
        <v>#DIV/0!</v>
      </c>
      <c r="AC20" s="26" t="e">
        <f>P20/(P20+Q20)</f>
        <v>#DIV/0!</v>
      </c>
      <c r="AD20" s="26">
        <f>V20/W20</f>
        <v>0.53125</v>
      </c>
    </row>
    <row r="21" spans="1:30" x14ac:dyDescent="0.2">
      <c r="A21" s="14" t="s">
        <v>64</v>
      </c>
      <c r="B21" s="10" t="s">
        <v>305</v>
      </c>
      <c r="C21" s="10" t="s">
        <v>59</v>
      </c>
      <c r="D21" s="10" t="s">
        <v>464</v>
      </c>
      <c r="E21" s="10" t="s">
        <v>460</v>
      </c>
      <c r="F21" s="10" t="s">
        <v>66</v>
      </c>
      <c r="G21" s="16">
        <v>1</v>
      </c>
      <c r="H21" s="16">
        <v>6</v>
      </c>
      <c r="I21" s="16">
        <v>3</v>
      </c>
      <c r="J21" s="16">
        <v>6</v>
      </c>
      <c r="K21" s="16">
        <v>4</v>
      </c>
      <c r="L21" s="16">
        <v>3</v>
      </c>
      <c r="M21" s="16">
        <v>6</v>
      </c>
      <c r="N21" s="16">
        <v>5</v>
      </c>
      <c r="O21" s="16">
        <v>7</v>
      </c>
      <c r="P21" s="16">
        <v>6</v>
      </c>
      <c r="Q21" s="16">
        <v>3</v>
      </c>
      <c r="R21" s="10" t="s">
        <v>65</v>
      </c>
      <c r="S21" s="10" t="s">
        <v>464</v>
      </c>
      <c r="T21" s="10" t="s">
        <v>460</v>
      </c>
      <c r="U21" s="16">
        <v>4</v>
      </c>
      <c r="V21" s="15">
        <f>H21+J21+L21+N21+P21</f>
        <v>26</v>
      </c>
      <c r="W21" s="15">
        <f>H21+I21+J21+K21+L21+M21+N21+O21+P21+Q21</f>
        <v>49</v>
      </c>
      <c r="X21" s="26">
        <f>V21/W21</f>
        <v>0.53061224489795922</v>
      </c>
      <c r="Y21" s="26">
        <f>H21/(H21+I21)</f>
        <v>0.66666666666666663</v>
      </c>
      <c r="Z21" s="26">
        <f>J21/(J21+K21)</f>
        <v>0.6</v>
      </c>
      <c r="AA21" s="26">
        <f>L22/(L22+M22)</f>
        <v>0.6</v>
      </c>
      <c r="AB21" s="26">
        <f>N21/(N21+O21)</f>
        <v>0.41666666666666669</v>
      </c>
      <c r="AC21" s="26">
        <f>P21/(P21+Q21)</f>
        <v>0.66666666666666663</v>
      </c>
      <c r="AD21" s="26">
        <f>V21/W21</f>
        <v>0.53061224489795922</v>
      </c>
    </row>
    <row r="22" spans="1:30" x14ac:dyDescent="0.2">
      <c r="A22" s="9" t="s">
        <v>67</v>
      </c>
      <c r="B22" s="10" t="s">
        <v>438</v>
      </c>
      <c r="C22" s="11" t="s">
        <v>312</v>
      </c>
      <c r="D22" s="11" t="s">
        <v>464</v>
      </c>
      <c r="E22" s="11" t="s">
        <v>460</v>
      </c>
      <c r="F22" s="11" t="s">
        <v>313</v>
      </c>
      <c r="G22" s="13">
        <v>2</v>
      </c>
      <c r="H22" s="13">
        <v>1</v>
      </c>
      <c r="I22" s="13">
        <v>6</v>
      </c>
      <c r="J22" s="13">
        <v>8</v>
      </c>
      <c r="K22" s="13">
        <v>6</v>
      </c>
      <c r="L22" s="13">
        <v>6</v>
      </c>
      <c r="M22" s="13">
        <v>4</v>
      </c>
      <c r="N22" s="13"/>
      <c r="O22" s="13"/>
      <c r="P22" s="13"/>
      <c r="Q22" s="13"/>
      <c r="R22" s="11" t="s">
        <v>307</v>
      </c>
      <c r="S22" s="11" t="s">
        <v>464</v>
      </c>
      <c r="T22" s="11" t="s">
        <v>460</v>
      </c>
      <c r="U22" s="13">
        <v>3</v>
      </c>
      <c r="V22" s="15">
        <f>H22+J22+L22+N22+P22</f>
        <v>15</v>
      </c>
      <c r="W22" s="15">
        <f>H22+I22+J22+K22+L22+M22+N22+O22+P22+Q22</f>
        <v>31</v>
      </c>
      <c r="X22" s="26">
        <f>V22/W22</f>
        <v>0.4838709677419355</v>
      </c>
      <c r="Y22" s="26">
        <f>H22/(H22+I22)</f>
        <v>0.14285714285714285</v>
      </c>
      <c r="Z22" s="26">
        <f>J22/(J22+K22)</f>
        <v>0.5714285714285714</v>
      </c>
      <c r="AA22" s="26">
        <f>L23/(L23+M23)</f>
        <v>0.75</v>
      </c>
      <c r="AB22" s="26" t="e">
        <f>N22/(N22+O22)</f>
        <v>#DIV/0!</v>
      </c>
      <c r="AC22" s="26" t="e">
        <f>P22/(P22+Q22)</f>
        <v>#DIV/0!</v>
      </c>
      <c r="AD22" s="26">
        <f>V22/W22</f>
        <v>0.4838709677419355</v>
      </c>
    </row>
    <row r="23" spans="1:30" x14ac:dyDescent="0.2">
      <c r="A23" s="9" t="s">
        <v>67</v>
      </c>
      <c r="B23" s="10" t="s">
        <v>305</v>
      </c>
      <c r="C23" s="11" t="s">
        <v>59</v>
      </c>
      <c r="D23" s="11" t="s">
        <v>464</v>
      </c>
      <c r="E23" s="11" t="s">
        <v>460</v>
      </c>
      <c r="F23" s="11" t="s">
        <v>68</v>
      </c>
      <c r="G23" s="13">
        <v>1</v>
      </c>
      <c r="H23" s="13">
        <v>11</v>
      </c>
      <c r="I23" s="13">
        <v>9</v>
      </c>
      <c r="J23" s="13">
        <v>2</v>
      </c>
      <c r="K23" s="13">
        <v>6</v>
      </c>
      <c r="L23" s="13">
        <v>6</v>
      </c>
      <c r="M23" s="13">
        <v>2</v>
      </c>
      <c r="N23" s="13">
        <v>6</v>
      </c>
      <c r="O23" s="13">
        <v>3</v>
      </c>
      <c r="P23" s="13"/>
      <c r="Q23" s="13"/>
      <c r="R23" s="11" t="s">
        <v>41</v>
      </c>
      <c r="S23" s="11" t="s">
        <v>464</v>
      </c>
      <c r="T23" s="11" t="s">
        <v>460</v>
      </c>
      <c r="U23" s="13">
        <v>2</v>
      </c>
      <c r="V23" s="15">
        <f>H23+J23+L23+N23+P23</f>
        <v>25</v>
      </c>
      <c r="W23" s="15">
        <f>H23+I23+J23+K23+L23+M23+N23+O23+P23+Q23</f>
        <v>45</v>
      </c>
      <c r="X23" s="26">
        <f>V23/W23</f>
        <v>0.55555555555555558</v>
      </c>
      <c r="Y23" s="26">
        <f>H23/(H23+I23)</f>
        <v>0.55000000000000004</v>
      </c>
      <c r="Z23" s="26">
        <f>J23/(J23+K23)</f>
        <v>0.25</v>
      </c>
      <c r="AA23" s="26" t="e">
        <f>L24/(L24+M24)</f>
        <v>#DIV/0!</v>
      </c>
      <c r="AB23" s="26">
        <f>N23/(N23+O23)</f>
        <v>0.66666666666666663</v>
      </c>
      <c r="AC23" s="26" t="e">
        <f>P23/(P23+Q23)</f>
        <v>#DIV/0!</v>
      </c>
      <c r="AD23" s="26">
        <f>V23/W23</f>
        <v>0.55555555555555558</v>
      </c>
    </row>
    <row r="24" spans="1:30" x14ac:dyDescent="0.2">
      <c r="A24" s="14" t="s">
        <v>69</v>
      </c>
      <c r="B24" s="10" t="s">
        <v>438</v>
      </c>
      <c r="C24" s="10" t="s">
        <v>312</v>
      </c>
      <c r="D24" s="10" t="s">
        <v>464</v>
      </c>
      <c r="E24" s="10" t="s">
        <v>460</v>
      </c>
      <c r="F24" s="10" t="s">
        <v>314</v>
      </c>
      <c r="G24" s="16">
        <v>1</v>
      </c>
      <c r="H24" s="16">
        <v>6</v>
      </c>
      <c r="I24" s="16">
        <v>1</v>
      </c>
      <c r="J24" s="16">
        <v>6</v>
      </c>
      <c r="K24" s="16">
        <v>3</v>
      </c>
      <c r="L24" s="16"/>
      <c r="M24" s="16"/>
      <c r="N24" s="16"/>
      <c r="O24" s="16"/>
      <c r="P24" s="16"/>
      <c r="Q24" s="16"/>
      <c r="R24" s="10" t="s">
        <v>307</v>
      </c>
      <c r="S24" s="10" t="s">
        <v>464</v>
      </c>
      <c r="T24" s="10" t="s">
        <v>460</v>
      </c>
      <c r="U24" s="16">
        <v>2</v>
      </c>
      <c r="V24" s="15">
        <f>H24+J24+L24+N24+P24</f>
        <v>12</v>
      </c>
      <c r="W24" s="15">
        <f>H24+I24+J24+K24+L24+M24+N24+O24+P24+Q24</f>
        <v>16</v>
      </c>
      <c r="X24" s="26">
        <f>V24/W24</f>
        <v>0.75</v>
      </c>
      <c r="Y24" s="26">
        <f>H24/(H24+I24)</f>
        <v>0.8571428571428571</v>
      </c>
      <c r="Z24" s="26">
        <f>J24/(J24+K24)</f>
        <v>0.66666666666666663</v>
      </c>
      <c r="AA24" s="26">
        <f>L25/(L25+M25)</f>
        <v>0.8571428571428571</v>
      </c>
      <c r="AB24" s="26" t="e">
        <f>N24/(N24+O24)</f>
        <v>#DIV/0!</v>
      </c>
      <c r="AC24" s="26" t="e">
        <f>P24/(P24+Q24)</f>
        <v>#DIV/0!</v>
      </c>
      <c r="AD24" s="26">
        <f>V24/W24</f>
        <v>0.75</v>
      </c>
    </row>
    <row r="25" spans="1:30" x14ac:dyDescent="0.2">
      <c r="A25" s="14" t="s">
        <v>69</v>
      </c>
      <c r="B25" s="10" t="s">
        <v>305</v>
      </c>
      <c r="C25" s="10" t="s">
        <v>70</v>
      </c>
      <c r="D25" s="10" t="s">
        <v>464</v>
      </c>
      <c r="E25" s="10" t="s">
        <v>460</v>
      </c>
      <c r="F25" s="10" t="s">
        <v>72</v>
      </c>
      <c r="G25" s="16">
        <v>4</v>
      </c>
      <c r="H25" s="16">
        <v>6</v>
      </c>
      <c r="I25" s="16">
        <v>1</v>
      </c>
      <c r="J25" s="16">
        <v>6</v>
      </c>
      <c r="K25" s="16">
        <v>3</v>
      </c>
      <c r="L25" s="16">
        <v>6</v>
      </c>
      <c r="M25" s="16">
        <v>1</v>
      </c>
      <c r="N25" s="16"/>
      <c r="O25" s="16"/>
      <c r="P25" s="16"/>
      <c r="Q25" s="16"/>
      <c r="R25" s="10" t="s">
        <v>71</v>
      </c>
      <c r="S25" s="10" t="s">
        <v>464</v>
      </c>
      <c r="T25" s="10" t="s">
        <v>460</v>
      </c>
      <c r="U25" s="16">
        <v>8</v>
      </c>
      <c r="V25" s="15">
        <f>H25+J25+L25+N25+P25</f>
        <v>18</v>
      </c>
      <c r="W25" s="15">
        <f>H25+I25+J25+K25+L25+M25+N25+O25+P25+Q25</f>
        <v>23</v>
      </c>
      <c r="X25" s="26">
        <f>V25/W25</f>
        <v>0.78260869565217395</v>
      </c>
      <c r="Y25" s="26">
        <f>H25/(H25+I25)</f>
        <v>0.8571428571428571</v>
      </c>
      <c r="Z25" s="26">
        <f>J25/(J25+K25)</f>
        <v>0.66666666666666663</v>
      </c>
      <c r="AA25" s="26">
        <f>L26/(L26+M26)</f>
        <v>0.75</v>
      </c>
      <c r="AB25" s="26" t="e">
        <f>N25/(N25+O25)</f>
        <v>#DIV/0!</v>
      </c>
      <c r="AC25" s="26" t="e">
        <f>P25/(P25+Q25)</f>
        <v>#DIV/0!</v>
      </c>
      <c r="AD25" s="26">
        <f>V25/W25</f>
        <v>0.78260869565217395</v>
      </c>
    </row>
    <row r="26" spans="1:30" x14ac:dyDescent="0.2">
      <c r="A26" s="9" t="s">
        <v>73</v>
      </c>
      <c r="B26" s="10" t="s">
        <v>438</v>
      </c>
      <c r="C26" s="11" t="s">
        <v>307</v>
      </c>
      <c r="D26" s="11" t="s">
        <v>464</v>
      </c>
      <c r="E26" s="11" t="s">
        <v>460</v>
      </c>
      <c r="F26" s="11" t="s">
        <v>315</v>
      </c>
      <c r="G26" s="13">
        <v>1</v>
      </c>
      <c r="H26" s="13">
        <v>5</v>
      </c>
      <c r="I26" s="13">
        <v>7</v>
      </c>
      <c r="J26" s="13">
        <v>6</v>
      </c>
      <c r="K26" s="13">
        <v>1</v>
      </c>
      <c r="L26" s="13">
        <v>6</v>
      </c>
      <c r="M26" s="13">
        <v>2</v>
      </c>
      <c r="N26" s="13"/>
      <c r="O26" s="13"/>
      <c r="P26" s="13"/>
      <c r="Q26" s="13"/>
      <c r="R26" s="11" t="s">
        <v>310</v>
      </c>
      <c r="S26" s="11" t="s">
        <v>464</v>
      </c>
      <c r="T26" s="11" t="s">
        <v>460</v>
      </c>
      <c r="U26" s="13">
        <v>3</v>
      </c>
      <c r="V26" s="15">
        <f>H26+J26+L26+N26+P26</f>
        <v>17</v>
      </c>
      <c r="W26" s="15">
        <f>H26+I26+J26+K26+L26+M26+N26+O26+P26+Q26</f>
        <v>27</v>
      </c>
      <c r="X26" s="26">
        <f>V26/W26</f>
        <v>0.62962962962962965</v>
      </c>
      <c r="Y26" s="26">
        <f>H26/(H26+I26)</f>
        <v>0.41666666666666669</v>
      </c>
      <c r="Z26" s="26">
        <f>J26/(J26+K26)</f>
        <v>0.8571428571428571</v>
      </c>
      <c r="AA26" s="26">
        <f>L27/(L27+M27)</f>
        <v>0.33333333333333331</v>
      </c>
      <c r="AB26" s="26" t="e">
        <f>N26/(N26+O26)</f>
        <v>#DIV/0!</v>
      </c>
      <c r="AC26" s="26" t="e">
        <f>P26/(P26+Q26)</f>
        <v>#DIV/0!</v>
      </c>
      <c r="AD26" s="26">
        <f>V26/W26</f>
        <v>0.62962962962962965</v>
      </c>
    </row>
    <row r="27" spans="1:30" x14ac:dyDescent="0.2">
      <c r="A27" s="9" t="s">
        <v>73</v>
      </c>
      <c r="B27" s="10" t="s">
        <v>305</v>
      </c>
      <c r="C27" s="11" t="s">
        <v>41</v>
      </c>
      <c r="D27" s="11" t="s">
        <v>464</v>
      </c>
      <c r="E27" s="11" t="s">
        <v>460</v>
      </c>
      <c r="F27" s="11" t="s">
        <v>74</v>
      </c>
      <c r="G27" s="13">
        <v>1</v>
      </c>
      <c r="H27" s="13">
        <v>3</v>
      </c>
      <c r="I27" s="13">
        <v>6</v>
      </c>
      <c r="J27" s="13">
        <v>6</v>
      </c>
      <c r="K27" s="13">
        <v>4</v>
      </c>
      <c r="L27" s="13">
        <v>3</v>
      </c>
      <c r="M27" s="13">
        <v>6</v>
      </c>
      <c r="N27" s="13">
        <v>18</v>
      </c>
      <c r="O27" s="13">
        <v>16</v>
      </c>
      <c r="P27" s="13">
        <v>6</v>
      </c>
      <c r="Q27" s="13">
        <v>3</v>
      </c>
      <c r="R27" s="11" t="s">
        <v>70</v>
      </c>
      <c r="S27" s="11" t="s">
        <v>464</v>
      </c>
      <c r="T27" s="11" t="s">
        <v>460</v>
      </c>
      <c r="U27" s="13">
        <v>3</v>
      </c>
      <c r="V27" s="15">
        <f>H27+J27+L27+N27+P27</f>
        <v>36</v>
      </c>
      <c r="W27" s="15">
        <f>H27+I27+J27+K27+L27+M27+N27+O27+P27+Q27</f>
        <v>71</v>
      </c>
      <c r="X27" s="26">
        <f>V27/W27</f>
        <v>0.50704225352112675</v>
      </c>
      <c r="Y27" s="26">
        <f>H27/(H27+I27)</f>
        <v>0.33333333333333331</v>
      </c>
      <c r="Z27" s="26">
        <f>J27/(J27+K27)</f>
        <v>0.6</v>
      </c>
      <c r="AA27" s="26" t="e">
        <f>L28/(L28+M28)</f>
        <v>#DIV/0!</v>
      </c>
      <c r="AB27" s="26">
        <f>N27/(N27+O27)</f>
        <v>0.52941176470588236</v>
      </c>
      <c r="AC27" s="26">
        <f>P27/(P27+Q27)</f>
        <v>0.66666666666666663</v>
      </c>
      <c r="AD27" s="26">
        <f>V27/W27</f>
        <v>0.50704225352112675</v>
      </c>
    </row>
    <row r="28" spans="1:30" x14ac:dyDescent="0.2">
      <c r="A28" s="14" t="s">
        <v>75</v>
      </c>
      <c r="B28" s="10" t="s">
        <v>438</v>
      </c>
      <c r="C28" s="10" t="s">
        <v>312</v>
      </c>
      <c r="D28" s="10" t="s">
        <v>464</v>
      </c>
      <c r="E28" s="10" t="s">
        <v>460</v>
      </c>
      <c r="F28" s="10" t="s">
        <v>316</v>
      </c>
      <c r="G28" s="16">
        <v>2</v>
      </c>
      <c r="H28" s="16">
        <v>7</v>
      </c>
      <c r="I28" s="16">
        <v>5</v>
      </c>
      <c r="J28" s="16">
        <v>6</v>
      </c>
      <c r="K28" s="16">
        <v>2</v>
      </c>
      <c r="L28" s="16"/>
      <c r="M28" s="16"/>
      <c r="N28" s="16"/>
      <c r="O28" s="16"/>
      <c r="P28" s="16"/>
      <c r="Q28" s="16"/>
      <c r="R28" s="10" t="s">
        <v>307</v>
      </c>
      <c r="S28" s="10" t="s">
        <v>464</v>
      </c>
      <c r="T28" s="10" t="s">
        <v>460</v>
      </c>
      <c r="U28" s="16">
        <v>1</v>
      </c>
      <c r="V28" s="15">
        <f>H28+J28+L28+N28+P28</f>
        <v>13</v>
      </c>
      <c r="W28" s="15">
        <f>H28+I28+J28+K28+L28+M28+N28+O28+P28+Q28</f>
        <v>20</v>
      </c>
      <c r="X28" s="26">
        <f>V28/W28</f>
        <v>0.65</v>
      </c>
      <c r="Y28" s="26">
        <f>H28/(H28+I28)</f>
        <v>0.58333333333333337</v>
      </c>
      <c r="Z28" s="26">
        <f>J28/(J28+K28)</f>
        <v>0.75</v>
      </c>
      <c r="AA28" s="26">
        <f>L29/(L29+M29)</f>
        <v>0.4</v>
      </c>
      <c r="AB28" s="26" t="e">
        <f>N28/(N28+O28)</f>
        <v>#DIV/0!</v>
      </c>
      <c r="AC28" s="26" t="e">
        <f>P28/(P28+Q28)</f>
        <v>#DIV/0!</v>
      </c>
      <c r="AD28" s="26">
        <f>V28/W28</f>
        <v>0.65</v>
      </c>
    </row>
    <row r="29" spans="1:30" x14ac:dyDescent="0.2">
      <c r="A29" s="14" t="s">
        <v>75</v>
      </c>
      <c r="B29" s="10" t="s">
        <v>305</v>
      </c>
      <c r="C29" s="10" t="s">
        <v>76</v>
      </c>
      <c r="D29" s="10" t="s">
        <v>474</v>
      </c>
      <c r="E29" s="10" t="s">
        <v>452</v>
      </c>
      <c r="F29" s="10" t="s">
        <v>78</v>
      </c>
      <c r="G29" s="16">
        <v>1</v>
      </c>
      <c r="H29" s="16">
        <v>6</v>
      </c>
      <c r="I29" s="16">
        <v>4</v>
      </c>
      <c r="J29" s="16">
        <v>6</v>
      </c>
      <c r="K29" s="16">
        <v>1</v>
      </c>
      <c r="L29" s="16">
        <v>4</v>
      </c>
      <c r="M29" s="16">
        <v>6</v>
      </c>
      <c r="N29" s="16">
        <v>5</v>
      </c>
      <c r="O29" s="16">
        <v>7</v>
      </c>
      <c r="P29" s="16">
        <v>6</v>
      </c>
      <c r="Q29" s="16">
        <v>3</v>
      </c>
      <c r="R29" s="10" t="s">
        <v>77</v>
      </c>
      <c r="S29" s="10" t="s">
        <v>464</v>
      </c>
      <c r="T29" s="10" t="s">
        <v>460</v>
      </c>
      <c r="U29" s="16" t="s">
        <v>563</v>
      </c>
      <c r="V29" s="15">
        <f>H29+J29+L29+N29+P29</f>
        <v>27</v>
      </c>
      <c r="W29" s="15">
        <f>H29+I29+J29+K29+L29+M29+N29+O29+P29+Q29</f>
        <v>48</v>
      </c>
      <c r="X29" s="26">
        <f>V29/W29</f>
        <v>0.5625</v>
      </c>
      <c r="Y29" s="26">
        <f>H29/(H29+I29)</f>
        <v>0.6</v>
      </c>
      <c r="Z29" s="26">
        <f>J29/(J29+K29)</f>
        <v>0.8571428571428571</v>
      </c>
      <c r="AA29" s="26">
        <f>L30/(L30+M30)</f>
        <v>0.75</v>
      </c>
      <c r="AB29" s="26">
        <f>N29/(N29+O29)</f>
        <v>0.41666666666666669</v>
      </c>
      <c r="AC29" s="26">
        <f>P29/(P29+Q29)</f>
        <v>0.66666666666666663</v>
      </c>
      <c r="AD29" s="26">
        <f>V29/W29</f>
        <v>0.5625</v>
      </c>
    </row>
    <row r="30" spans="1:30" x14ac:dyDescent="0.2">
      <c r="A30" s="9" t="s">
        <v>79</v>
      </c>
      <c r="B30" s="10" t="s">
        <v>438</v>
      </c>
      <c r="C30" s="11" t="s">
        <v>312</v>
      </c>
      <c r="D30" s="11" t="s">
        <v>464</v>
      </c>
      <c r="E30" s="11" t="s">
        <v>460</v>
      </c>
      <c r="F30" s="11" t="s">
        <v>318</v>
      </c>
      <c r="G30" s="13">
        <v>1</v>
      </c>
      <c r="H30" s="13">
        <v>6</v>
      </c>
      <c r="I30" s="13">
        <v>1</v>
      </c>
      <c r="J30" s="13">
        <v>5</v>
      </c>
      <c r="K30" s="13">
        <v>7</v>
      </c>
      <c r="L30" s="13">
        <v>6</v>
      </c>
      <c r="M30" s="13">
        <v>2</v>
      </c>
      <c r="N30" s="13"/>
      <c r="O30" s="13"/>
      <c r="P30" s="13"/>
      <c r="Q30" s="13"/>
      <c r="R30" s="11" t="s">
        <v>317</v>
      </c>
      <c r="S30" s="11" t="s">
        <v>464</v>
      </c>
      <c r="T30" s="11" t="s">
        <v>460</v>
      </c>
      <c r="U30" s="13">
        <v>2</v>
      </c>
      <c r="V30" s="15">
        <f>H30+J30+L30+N30+P30</f>
        <v>17</v>
      </c>
      <c r="W30" s="15">
        <f>H30+I30+J30+K30+L30+M30+N30+O30+P30+Q30</f>
        <v>27</v>
      </c>
      <c r="X30" s="26">
        <f>V30/W30</f>
        <v>0.62962962962962965</v>
      </c>
      <c r="Y30" s="26">
        <f>H30/(H30+I30)</f>
        <v>0.8571428571428571</v>
      </c>
      <c r="Z30" s="26">
        <f>J30/(J30+K30)</f>
        <v>0.41666666666666669</v>
      </c>
      <c r="AA30" s="26">
        <f>L31/(L31+M31)</f>
        <v>0.41666666666666669</v>
      </c>
      <c r="AB30" s="26" t="e">
        <f>N30/(N30+O30)</f>
        <v>#DIV/0!</v>
      </c>
      <c r="AC30" s="26" t="e">
        <f>P30/(P30+Q30)</f>
        <v>#DIV/0!</v>
      </c>
      <c r="AD30" s="26">
        <f>V30/W30</f>
        <v>0.62962962962962965</v>
      </c>
    </row>
    <row r="31" spans="1:30" x14ac:dyDescent="0.2">
      <c r="A31" s="9" t="s">
        <v>79</v>
      </c>
      <c r="B31" s="10" t="s">
        <v>305</v>
      </c>
      <c r="C31" s="11" t="s">
        <v>80</v>
      </c>
      <c r="D31" s="11" t="s">
        <v>457</v>
      </c>
      <c r="E31" s="11" t="s">
        <v>450</v>
      </c>
      <c r="F31" s="11" t="s">
        <v>81</v>
      </c>
      <c r="G31" s="13">
        <v>4</v>
      </c>
      <c r="H31" s="13">
        <v>6</v>
      </c>
      <c r="I31" s="13">
        <v>2</v>
      </c>
      <c r="J31" s="13">
        <v>6</v>
      </c>
      <c r="K31" s="13">
        <v>2</v>
      </c>
      <c r="L31" s="13">
        <v>5</v>
      </c>
      <c r="M31" s="13">
        <v>7</v>
      </c>
      <c r="N31" s="13">
        <v>7</v>
      </c>
      <c r="O31" s="13">
        <v>5</v>
      </c>
      <c r="P31" s="13"/>
      <c r="Q31" s="13"/>
      <c r="R31" s="11" t="s">
        <v>65</v>
      </c>
      <c r="S31" s="11" t="s">
        <v>464</v>
      </c>
      <c r="T31" s="11" t="s">
        <v>460</v>
      </c>
      <c r="U31" s="13">
        <v>5</v>
      </c>
      <c r="V31" s="15">
        <f>H31+J31+L31+N31+P31</f>
        <v>24</v>
      </c>
      <c r="W31" s="15">
        <f>H31+I31+J31+K31+L31+M31+N31+O31+P31+Q31</f>
        <v>40</v>
      </c>
      <c r="X31" s="26">
        <f>V31/W31</f>
        <v>0.6</v>
      </c>
      <c r="Y31" s="26">
        <f>H31/(H31+I31)</f>
        <v>0.75</v>
      </c>
      <c r="Z31" s="26">
        <f>J31/(J31+K31)</f>
        <v>0.75</v>
      </c>
      <c r="AA31" s="26">
        <f>L32/(L32+M32)</f>
        <v>0.66666666666666663</v>
      </c>
      <c r="AB31" s="26">
        <f>N31/(N31+O31)</f>
        <v>0.58333333333333337</v>
      </c>
      <c r="AC31" s="26" t="e">
        <f>P31/(P31+Q31)</f>
        <v>#DIV/0!</v>
      </c>
      <c r="AD31" s="26">
        <f>V31/W31</f>
        <v>0.6</v>
      </c>
    </row>
    <row r="32" spans="1:30" x14ac:dyDescent="0.2">
      <c r="A32" s="14" t="s">
        <v>82</v>
      </c>
      <c r="B32" s="10" t="s">
        <v>305</v>
      </c>
      <c r="C32" s="10" t="s">
        <v>83</v>
      </c>
      <c r="D32" s="10" t="s">
        <v>464</v>
      </c>
      <c r="E32" s="10" t="s">
        <v>460</v>
      </c>
      <c r="F32" s="10" t="s">
        <v>85</v>
      </c>
      <c r="G32" s="16">
        <v>3</v>
      </c>
      <c r="H32" s="16">
        <v>6</v>
      </c>
      <c r="I32" s="16">
        <v>3</v>
      </c>
      <c r="J32" s="16">
        <v>6</v>
      </c>
      <c r="K32" s="16">
        <v>1</v>
      </c>
      <c r="L32" s="16">
        <v>6</v>
      </c>
      <c r="M32" s="16">
        <v>3</v>
      </c>
      <c r="N32" s="16"/>
      <c r="O32" s="16"/>
      <c r="P32" s="16"/>
      <c r="Q32" s="16"/>
      <c r="R32" s="10" t="s">
        <v>84</v>
      </c>
      <c r="S32" s="10" t="s">
        <v>464</v>
      </c>
      <c r="T32" s="10" t="s">
        <v>460</v>
      </c>
      <c r="U32" s="16">
        <v>2</v>
      </c>
      <c r="V32" s="15">
        <f>H32+J32+L32+N32+P32</f>
        <v>18</v>
      </c>
      <c r="W32" s="15">
        <f>H32+I32+J32+K32+L32+M32+N32+O32+P32+Q32</f>
        <v>25</v>
      </c>
      <c r="X32" s="26">
        <f>V32/W32</f>
        <v>0.72</v>
      </c>
      <c r="Y32" s="26">
        <f>H32/(H32+I32)</f>
        <v>0.66666666666666663</v>
      </c>
      <c r="Z32" s="26">
        <f>J32/(J32+K32)</f>
        <v>0.8571428571428571</v>
      </c>
      <c r="AA32" s="26">
        <f>L33/(L33+M33)</f>
        <v>0.58333333333333337</v>
      </c>
      <c r="AB32" s="26" t="e">
        <f>N32/(N32+O32)</f>
        <v>#DIV/0!</v>
      </c>
      <c r="AC32" s="26" t="e">
        <f>P32/(P32+Q32)</f>
        <v>#DIV/0!</v>
      </c>
      <c r="AD32" s="26">
        <f>V32/W32</f>
        <v>0.72</v>
      </c>
    </row>
    <row r="33" spans="1:30" x14ac:dyDescent="0.2">
      <c r="A33" s="14" t="s">
        <v>82</v>
      </c>
      <c r="B33" s="10" t="s">
        <v>438</v>
      </c>
      <c r="C33" s="10" t="s">
        <v>312</v>
      </c>
      <c r="D33" s="10" t="s">
        <v>464</v>
      </c>
      <c r="E33" s="10" t="s">
        <v>460</v>
      </c>
      <c r="F33" s="10" t="s">
        <v>319</v>
      </c>
      <c r="G33" s="16">
        <v>1</v>
      </c>
      <c r="H33" s="16">
        <v>10</v>
      </c>
      <c r="I33" s="16">
        <v>8</v>
      </c>
      <c r="J33" s="16">
        <v>2</v>
      </c>
      <c r="K33" s="16">
        <v>6</v>
      </c>
      <c r="L33" s="16">
        <v>7</v>
      </c>
      <c r="M33" s="16">
        <v>5</v>
      </c>
      <c r="N33" s="16"/>
      <c r="O33" s="16"/>
      <c r="P33" s="16"/>
      <c r="Q33" s="16"/>
      <c r="R33" s="10" t="s">
        <v>310</v>
      </c>
      <c r="S33" s="10" t="s">
        <v>464</v>
      </c>
      <c r="T33" s="10" t="s">
        <v>460</v>
      </c>
      <c r="U33" s="16">
        <v>4</v>
      </c>
      <c r="V33" s="15">
        <f>H33+J33+L33+N33+P33</f>
        <v>19</v>
      </c>
      <c r="W33" s="15">
        <f>H33+I33+J33+K33+L33+M33+N33+O33+P33+Q33</f>
        <v>38</v>
      </c>
      <c r="X33" s="26">
        <f>V33/W33</f>
        <v>0.5</v>
      </c>
      <c r="Y33" s="26">
        <f>H33/(H33+I33)</f>
        <v>0.55555555555555558</v>
      </c>
      <c r="Z33" s="26">
        <f>J33/(J33+K33)</f>
        <v>0.25</v>
      </c>
      <c r="AA33" s="26">
        <f>L34/(L34+M34)</f>
        <v>0.6</v>
      </c>
      <c r="AB33" s="26" t="e">
        <f>N33/(N33+O33)</f>
        <v>#DIV/0!</v>
      </c>
      <c r="AC33" s="26" t="e">
        <f>P33/(P33+Q33)</f>
        <v>#DIV/0!</v>
      </c>
      <c r="AD33" s="26">
        <f>V33/W33</f>
        <v>0.5</v>
      </c>
    </row>
    <row r="34" spans="1:30" x14ac:dyDescent="0.2">
      <c r="A34" s="9" t="s">
        <v>86</v>
      </c>
      <c r="B34" s="10" t="s">
        <v>438</v>
      </c>
      <c r="C34" s="11" t="s">
        <v>320</v>
      </c>
      <c r="D34" s="11" t="s">
        <v>464</v>
      </c>
      <c r="E34" s="11" t="s">
        <v>460</v>
      </c>
      <c r="F34" s="11" t="s">
        <v>322</v>
      </c>
      <c r="G34" s="13">
        <v>4</v>
      </c>
      <c r="H34" s="13">
        <v>1</v>
      </c>
      <c r="I34" s="13">
        <v>6</v>
      </c>
      <c r="J34" s="13">
        <v>6</v>
      </c>
      <c r="K34" s="13">
        <v>3</v>
      </c>
      <c r="L34" s="13">
        <v>6</v>
      </c>
      <c r="M34" s="13">
        <v>4</v>
      </c>
      <c r="N34" s="13"/>
      <c r="O34" s="13"/>
      <c r="P34" s="13"/>
      <c r="Q34" s="13"/>
      <c r="R34" s="11" t="s">
        <v>321</v>
      </c>
      <c r="S34" s="11" t="s">
        <v>464</v>
      </c>
      <c r="T34" s="11" t="s">
        <v>460</v>
      </c>
      <c r="U34" s="13">
        <v>1</v>
      </c>
      <c r="V34" s="15">
        <f>H34+J34+L34+N34+P34</f>
        <v>13</v>
      </c>
      <c r="W34" s="15">
        <f>H34+I34+J34+K34+L34+M34+N34+O34+P34+Q34</f>
        <v>26</v>
      </c>
      <c r="X34" s="26">
        <f>V34/W34</f>
        <v>0.5</v>
      </c>
      <c r="Y34" s="26">
        <f>H34/(H34+I34)</f>
        <v>0.14285714285714285</v>
      </c>
      <c r="Z34" s="26">
        <f>J34/(J34+K34)</f>
        <v>0.66666666666666663</v>
      </c>
      <c r="AA34" s="26">
        <f>L35/(L35+M35)</f>
        <v>0.25</v>
      </c>
      <c r="AB34" s="26" t="e">
        <f>N34/(N34+O34)</f>
        <v>#DIV/0!</v>
      </c>
      <c r="AC34" s="26" t="e">
        <f>P34/(P34+Q34)</f>
        <v>#DIV/0!</v>
      </c>
      <c r="AD34" s="26">
        <f>V34/W34</f>
        <v>0.5</v>
      </c>
    </row>
    <row r="35" spans="1:30" x14ac:dyDescent="0.2">
      <c r="A35" s="9" t="s">
        <v>86</v>
      </c>
      <c r="B35" s="10" t="s">
        <v>305</v>
      </c>
      <c r="C35" s="11" t="s">
        <v>87</v>
      </c>
      <c r="D35" s="11" t="s">
        <v>464</v>
      </c>
      <c r="E35" s="11" t="s">
        <v>460</v>
      </c>
      <c r="F35" s="11" t="s">
        <v>88</v>
      </c>
      <c r="G35" s="13">
        <v>1</v>
      </c>
      <c r="H35" s="13">
        <v>6</v>
      </c>
      <c r="I35" s="13">
        <v>4</v>
      </c>
      <c r="J35" s="13">
        <v>6</v>
      </c>
      <c r="K35" s="13">
        <v>2</v>
      </c>
      <c r="L35" s="13">
        <v>2</v>
      </c>
      <c r="M35" s="13">
        <v>6</v>
      </c>
      <c r="N35" s="13">
        <v>6</v>
      </c>
      <c r="O35" s="13">
        <v>1</v>
      </c>
      <c r="P35" s="13"/>
      <c r="Q35" s="13"/>
      <c r="R35" s="11" t="s">
        <v>84</v>
      </c>
      <c r="S35" s="11" t="s">
        <v>464</v>
      </c>
      <c r="T35" s="11" t="s">
        <v>460</v>
      </c>
      <c r="U35" s="13">
        <v>2</v>
      </c>
      <c r="V35" s="15">
        <f>H35+J35+L35+N35+P35</f>
        <v>20</v>
      </c>
      <c r="W35" s="15">
        <f>H35+I35+J35+K35+L35+M35+N35+O35+P35+Q35</f>
        <v>33</v>
      </c>
      <c r="X35" s="26">
        <f>V35/W35</f>
        <v>0.60606060606060608</v>
      </c>
      <c r="Y35" s="26">
        <f>H35/(H35+I35)</f>
        <v>0.6</v>
      </c>
      <c r="Z35" s="26">
        <f>J35/(J35+K35)</f>
        <v>0.75</v>
      </c>
      <c r="AA35" s="26" t="e">
        <f>L36/(L36+M36)</f>
        <v>#DIV/0!</v>
      </c>
      <c r="AB35" s="26">
        <f>N35/(N35+O35)</f>
        <v>0.8571428571428571</v>
      </c>
      <c r="AC35" s="26" t="e">
        <f>P35/(P35+Q35)</f>
        <v>#DIV/0!</v>
      </c>
      <c r="AD35" s="26">
        <f>V35/W35</f>
        <v>0.60606060606060608</v>
      </c>
    </row>
    <row r="36" spans="1:30" x14ac:dyDescent="0.2">
      <c r="A36" s="14" t="s">
        <v>89</v>
      </c>
      <c r="B36" s="10" t="s">
        <v>438</v>
      </c>
      <c r="C36" s="10" t="s">
        <v>320</v>
      </c>
      <c r="D36" s="10" t="s">
        <v>464</v>
      </c>
      <c r="E36" s="10" t="s">
        <v>460</v>
      </c>
      <c r="F36" s="10" t="s">
        <v>324</v>
      </c>
      <c r="G36" s="16">
        <v>3</v>
      </c>
      <c r="H36" s="16">
        <v>9</v>
      </c>
      <c r="I36" s="16">
        <v>7</v>
      </c>
      <c r="J36" s="16">
        <v>6</v>
      </c>
      <c r="K36" s="16">
        <v>4</v>
      </c>
      <c r="L36" s="16"/>
      <c r="M36" s="16"/>
      <c r="N36" s="16"/>
      <c r="O36" s="16"/>
      <c r="P36" s="16"/>
      <c r="Q36" s="16"/>
      <c r="R36" s="10" t="s">
        <v>323</v>
      </c>
      <c r="S36" s="10" t="s">
        <v>464</v>
      </c>
      <c r="T36" s="10" t="s">
        <v>460</v>
      </c>
      <c r="U36" s="16" t="s">
        <v>563</v>
      </c>
      <c r="V36" s="15">
        <f>H36+J36+L36+N36+P36</f>
        <v>15</v>
      </c>
      <c r="W36" s="15">
        <f>H36+I36+J36+K36+L36+M36+N36+O36+P36+Q36</f>
        <v>26</v>
      </c>
      <c r="X36" s="26">
        <f>V36/W36</f>
        <v>0.57692307692307687</v>
      </c>
      <c r="Y36" s="26">
        <f>H36/(H36+I36)</f>
        <v>0.5625</v>
      </c>
      <c r="Z36" s="26">
        <f>J36/(J36+K36)</f>
        <v>0.6</v>
      </c>
      <c r="AA36" s="26">
        <f>L37/(L37+M37)</f>
        <v>0.33333333333333331</v>
      </c>
      <c r="AB36" s="26" t="e">
        <f>N36/(N36+O36)</f>
        <v>#DIV/0!</v>
      </c>
      <c r="AC36" s="26" t="e">
        <f>P36/(P36+Q36)</f>
        <v>#DIV/0!</v>
      </c>
      <c r="AD36" s="26">
        <f>V36/W36</f>
        <v>0.57692307692307687</v>
      </c>
    </row>
    <row r="37" spans="1:30" x14ac:dyDescent="0.2">
      <c r="A37" s="14" t="s">
        <v>89</v>
      </c>
      <c r="B37" s="10" t="s">
        <v>305</v>
      </c>
      <c r="C37" s="10" t="s">
        <v>87</v>
      </c>
      <c r="D37" s="10" t="s">
        <v>464</v>
      </c>
      <c r="E37" s="10" t="s">
        <v>460</v>
      </c>
      <c r="F37" s="10" t="s">
        <v>90</v>
      </c>
      <c r="G37" s="16">
        <v>1</v>
      </c>
      <c r="H37" s="16">
        <v>4</v>
      </c>
      <c r="I37" s="16">
        <v>6</v>
      </c>
      <c r="J37" s="16">
        <v>6</v>
      </c>
      <c r="K37" s="16">
        <v>3</v>
      </c>
      <c r="L37" s="16">
        <v>3</v>
      </c>
      <c r="M37" s="16">
        <v>6</v>
      </c>
      <c r="N37" s="16">
        <v>6</v>
      </c>
      <c r="O37" s="16">
        <v>3</v>
      </c>
      <c r="P37" s="16">
        <v>6</v>
      </c>
      <c r="Q37" s="16">
        <v>1</v>
      </c>
      <c r="R37" s="10" t="s">
        <v>84</v>
      </c>
      <c r="S37" s="10" t="s">
        <v>464</v>
      </c>
      <c r="T37" s="10" t="s">
        <v>460</v>
      </c>
      <c r="U37" s="16">
        <v>4</v>
      </c>
      <c r="V37" s="15">
        <f>H37+J37+L37+N37+P37</f>
        <v>25</v>
      </c>
      <c r="W37" s="15">
        <f>H37+I37+J37+K37+L37+M37+N37+O37+P37+Q37</f>
        <v>44</v>
      </c>
      <c r="X37" s="26">
        <f>V37/W37</f>
        <v>0.56818181818181823</v>
      </c>
      <c r="Y37" s="26">
        <f>H37/(H37+I37)</f>
        <v>0.4</v>
      </c>
      <c r="Z37" s="26">
        <f>J37/(J37+K37)</f>
        <v>0.66666666666666663</v>
      </c>
      <c r="AA37" s="26" t="e">
        <f>L38/(L38+M38)</f>
        <v>#DIV/0!</v>
      </c>
      <c r="AB37" s="26">
        <f>N37/(N37+O37)</f>
        <v>0.66666666666666663</v>
      </c>
      <c r="AC37" s="26">
        <f>P37/(P37+Q37)</f>
        <v>0.8571428571428571</v>
      </c>
      <c r="AD37" s="26">
        <f>V37/W37</f>
        <v>0.56818181818181823</v>
      </c>
    </row>
    <row r="38" spans="1:30" x14ac:dyDescent="0.2">
      <c r="A38" s="9" t="s">
        <v>91</v>
      </c>
      <c r="B38" s="10" t="s">
        <v>438</v>
      </c>
      <c r="C38" s="11" t="s">
        <v>325</v>
      </c>
      <c r="D38" s="11" t="s">
        <v>464</v>
      </c>
      <c r="E38" s="11" t="s">
        <v>460</v>
      </c>
      <c r="F38" s="11" t="s">
        <v>326</v>
      </c>
      <c r="G38" s="13">
        <v>1</v>
      </c>
      <c r="H38" s="13">
        <v>6</v>
      </c>
      <c r="I38" s="13">
        <v>4</v>
      </c>
      <c r="J38" s="13">
        <v>6</v>
      </c>
      <c r="K38" s="13">
        <v>3</v>
      </c>
      <c r="L38" s="13"/>
      <c r="M38" s="13"/>
      <c r="N38" s="13"/>
      <c r="O38" s="13"/>
      <c r="P38" s="13"/>
      <c r="Q38" s="13"/>
      <c r="R38" s="11" t="s">
        <v>320</v>
      </c>
      <c r="S38" s="11" t="s">
        <v>464</v>
      </c>
      <c r="T38" s="11" t="s">
        <v>460</v>
      </c>
      <c r="U38" s="13">
        <v>2</v>
      </c>
      <c r="V38" s="15">
        <f>H38+J38+L38+N38+P38</f>
        <v>12</v>
      </c>
      <c r="W38" s="15">
        <f>H38+I38+J38+K38+L38+M38+N38+O38+P38+Q38</f>
        <v>19</v>
      </c>
      <c r="X38" s="26">
        <f>V38/W38</f>
        <v>0.63157894736842102</v>
      </c>
      <c r="Y38" s="26">
        <f>H38/(H38+I38)</f>
        <v>0.6</v>
      </c>
      <c r="Z38" s="26">
        <f>J38/(J38+K38)</f>
        <v>0.66666666666666663</v>
      </c>
      <c r="AA38" s="26">
        <f>L39/(L39+M39)</f>
        <v>0.66666666666666663</v>
      </c>
      <c r="AB38" s="26" t="e">
        <f>N38/(N38+O38)</f>
        <v>#DIV/0!</v>
      </c>
      <c r="AC38" s="26" t="e">
        <f>P38/(P38+Q38)</f>
        <v>#DIV/0!</v>
      </c>
      <c r="AD38" s="26">
        <f>V38/W38</f>
        <v>0.63157894736842102</v>
      </c>
    </row>
    <row r="39" spans="1:30" x14ac:dyDescent="0.2">
      <c r="A39" s="9" t="s">
        <v>91</v>
      </c>
      <c r="B39" s="10" t="s">
        <v>305</v>
      </c>
      <c r="C39" s="11" t="s">
        <v>87</v>
      </c>
      <c r="D39" s="11" t="s">
        <v>464</v>
      </c>
      <c r="E39" s="11" t="s">
        <v>460</v>
      </c>
      <c r="F39" s="11" t="s">
        <v>93</v>
      </c>
      <c r="G39" s="13">
        <v>2</v>
      </c>
      <c r="H39" s="13">
        <v>2</v>
      </c>
      <c r="I39" s="13">
        <v>6</v>
      </c>
      <c r="J39" s="13">
        <v>7</v>
      </c>
      <c r="K39" s="13">
        <v>5</v>
      </c>
      <c r="L39" s="13">
        <v>6</v>
      </c>
      <c r="M39" s="13">
        <v>3</v>
      </c>
      <c r="N39" s="13">
        <v>6</v>
      </c>
      <c r="O39" s="13">
        <v>2</v>
      </c>
      <c r="P39" s="13"/>
      <c r="Q39" s="13"/>
      <c r="R39" s="11" t="s">
        <v>92</v>
      </c>
      <c r="S39" s="11" t="s">
        <v>467</v>
      </c>
      <c r="T39" s="11" t="s">
        <v>442</v>
      </c>
      <c r="U39" s="13">
        <v>7</v>
      </c>
      <c r="V39" s="15">
        <f>H39+J39+L39+N39+P39</f>
        <v>21</v>
      </c>
      <c r="W39" s="15">
        <f>H39+I39+J39+K39+L39+M39+N39+O39+P39+Q39</f>
        <v>37</v>
      </c>
      <c r="X39" s="26">
        <f>V39/W39</f>
        <v>0.56756756756756754</v>
      </c>
      <c r="Y39" s="26">
        <f>H39/(H39+I39)</f>
        <v>0.25</v>
      </c>
      <c r="Z39" s="26">
        <f>J39/(J39+K39)</f>
        <v>0.58333333333333337</v>
      </c>
      <c r="AA39" s="26" t="e">
        <f>L40/(L40+M40)</f>
        <v>#DIV/0!</v>
      </c>
      <c r="AB39" s="26">
        <f>N39/(N39+O39)</f>
        <v>0.75</v>
      </c>
      <c r="AC39" s="26" t="e">
        <f>P39/(P39+Q39)</f>
        <v>#DIV/0!</v>
      </c>
      <c r="AD39" s="26">
        <f>V39/W39</f>
        <v>0.56756756756756754</v>
      </c>
    </row>
    <row r="40" spans="1:30" x14ac:dyDescent="0.2">
      <c r="A40" s="14" t="s">
        <v>94</v>
      </c>
      <c r="B40" s="10" t="s">
        <v>438</v>
      </c>
      <c r="C40" s="10" t="s">
        <v>325</v>
      </c>
      <c r="D40" s="10" t="s">
        <v>464</v>
      </c>
      <c r="E40" s="10" t="s">
        <v>460</v>
      </c>
      <c r="F40" s="10" t="s">
        <v>327</v>
      </c>
      <c r="G40" s="16">
        <v>1</v>
      </c>
      <c r="H40" s="16">
        <v>6</v>
      </c>
      <c r="I40" s="16">
        <v>1</v>
      </c>
      <c r="J40" s="16">
        <v>6</v>
      </c>
      <c r="K40" s="16">
        <v>4</v>
      </c>
      <c r="L40" s="16"/>
      <c r="M40" s="16"/>
      <c r="N40" s="16"/>
      <c r="O40" s="16"/>
      <c r="P40" s="16"/>
      <c r="Q40" s="16"/>
      <c r="R40" s="10" t="s">
        <v>306</v>
      </c>
      <c r="S40" s="10" t="s">
        <v>464</v>
      </c>
      <c r="T40" s="10" t="s">
        <v>460</v>
      </c>
      <c r="U40" s="16">
        <v>2</v>
      </c>
      <c r="V40" s="15">
        <f>H40+J40+L40+N40+P40</f>
        <v>12</v>
      </c>
      <c r="W40" s="15">
        <f>H40+I40+J40+K40+L40+M40+N40+O40+P40+Q40</f>
        <v>17</v>
      </c>
      <c r="X40" s="26">
        <f>V40/W40</f>
        <v>0.70588235294117652</v>
      </c>
      <c r="Y40" s="26">
        <f>H40/(H40+I40)</f>
        <v>0.8571428571428571</v>
      </c>
      <c r="Z40" s="26">
        <f>J40/(J40+K40)</f>
        <v>0.6</v>
      </c>
      <c r="AA40" s="26">
        <f>L41/(L41+M41)</f>
        <v>0.8571428571428571</v>
      </c>
      <c r="AB40" s="26" t="e">
        <f>N40/(N40+O40)</f>
        <v>#DIV/0!</v>
      </c>
      <c r="AC40" s="26" t="e">
        <f>P40/(P40+Q40)</f>
        <v>#DIV/0!</v>
      </c>
      <c r="AD40" s="26">
        <f>V40/W40</f>
        <v>0.70588235294117652</v>
      </c>
    </row>
    <row r="41" spans="1:30" x14ac:dyDescent="0.2">
      <c r="A41" s="14" t="s">
        <v>94</v>
      </c>
      <c r="B41" s="10" t="s">
        <v>305</v>
      </c>
      <c r="C41" s="10" t="s">
        <v>95</v>
      </c>
      <c r="D41" s="10" t="s">
        <v>457</v>
      </c>
      <c r="E41" s="10" t="s">
        <v>450</v>
      </c>
      <c r="F41" s="10" t="s">
        <v>96</v>
      </c>
      <c r="G41" s="16">
        <v>2</v>
      </c>
      <c r="H41" s="16">
        <v>6</v>
      </c>
      <c r="I41" s="16">
        <v>3</v>
      </c>
      <c r="J41" s="16">
        <v>7</v>
      </c>
      <c r="K41" s="16">
        <v>5</v>
      </c>
      <c r="L41" s="16">
        <v>6</v>
      </c>
      <c r="M41" s="16">
        <v>1</v>
      </c>
      <c r="N41" s="16"/>
      <c r="O41" s="16"/>
      <c r="P41" s="16"/>
      <c r="Q41" s="16"/>
      <c r="R41" s="10" t="s">
        <v>87</v>
      </c>
      <c r="S41" s="10" t="s">
        <v>464</v>
      </c>
      <c r="T41" s="10" t="s">
        <v>460</v>
      </c>
      <c r="U41" s="16">
        <v>1</v>
      </c>
      <c r="V41" s="15">
        <f>H41+J41+L41+N41+P41</f>
        <v>19</v>
      </c>
      <c r="W41" s="15">
        <f>H41+I41+J41+K41+L41+M41+N41+O41+P41+Q41</f>
        <v>28</v>
      </c>
      <c r="X41" s="26">
        <f>V41/W41</f>
        <v>0.6785714285714286</v>
      </c>
      <c r="Y41" s="26">
        <f>H41/(H41+I41)</f>
        <v>0.66666666666666663</v>
      </c>
      <c r="Z41" s="26">
        <f>J41/(J41+K41)</f>
        <v>0.58333333333333337</v>
      </c>
      <c r="AA41" s="26">
        <f>L42/(L42+M42)</f>
        <v>0.66666666666666663</v>
      </c>
      <c r="AB41" s="26" t="e">
        <f>N41/(N41+O41)</f>
        <v>#DIV/0!</v>
      </c>
      <c r="AC41" s="26" t="e">
        <f>P41/(P41+Q41)</f>
        <v>#DIV/0!</v>
      </c>
      <c r="AD41" s="26">
        <f>V41/W41</f>
        <v>0.6785714285714286</v>
      </c>
    </row>
    <row r="42" spans="1:30" x14ac:dyDescent="0.2">
      <c r="A42" s="9" t="s">
        <v>97</v>
      </c>
      <c r="B42" s="10" t="s">
        <v>438</v>
      </c>
      <c r="C42" s="11" t="s">
        <v>328</v>
      </c>
      <c r="D42" s="11" t="s">
        <v>457</v>
      </c>
      <c r="E42" s="11" t="s">
        <v>450</v>
      </c>
      <c r="F42" s="11" t="s">
        <v>330</v>
      </c>
      <c r="G42" s="13">
        <v>1</v>
      </c>
      <c r="H42" s="13">
        <v>1</v>
      </c>
      <c r="I42" s="13">
        <v>6</v>
      </c>
      <c r="J42" s="13">
        <v>6</v>
      </c>
      <c r="K42" s="13">
        <v>1</v>
      </c>
      <c r="L42" s="13">
        <v>6</v>
      </c>
      <c r="M42" s="13">
        <v>3</v>
      </c>
      <c r="N42" s="13"/>
      <c r="O42" s="13"/>
      <c r="P42" s="13"/>
      <c r="Q42" s="13"/>
      <c r="R42" s="11" t="s">
        <v>329</v>
      </c>
      <c r="S42" s="11" t="s">
        <v>457</v>
      </c>
      <c r="T42" s="11" t="s">
        <v>450</v>
      </c>
      <c r="U42" s="13">
        <v>4</v>
      </c>
      <c r="V42" s="15">
        <f>H42+J42+L42+N42+P42</f>
        <v>13</v>
      </c>
      <c r="W42" s="15">
        <f>H42+I42+J42+K42+L42+M42+N42+O42+P42+Q42</f>
        <v>23</v>
      </c>
      <c r="X42" s="26">
        <f>V42/W42</f>
        <v>0.56521739130434778</v>
      </c>
      <c r="Y42" s="26">
        <f>H42/(H42+I42)</f>
        <v>0.14285714285714285</v>
      </c>
      <c r="Z42" s="26">
        <f>J42/(J42+K42)</f>
        <v>0.8571428571428571</v>
      </c>
      <c r="AA42" s="26">
        <f>L43/(L43+M43)</f>
        <v>0.6</v>
      </c>
      <c r="AB42" s="26" t="e">
        <f>N42/(N42+O42)</f>
        <v>#DIV/0!</v>
      </c>
      <c r="AC42" s="26" t="e">
        <f>P42/(P42+Q42)</f>
        <v>#DIV/0!</v>
      </c>
      <c r="AD42" s="26">
        <f>V42/W42</f>
        <v>0.56521739130434778</v>
      </c>
    </row>
    <row r="43" spans="1:30" x14ac:dyDescent="0.2">
      <c r="A43" s="9" t="s">
        <v>97</v>
      </c>
      <c r="B43" s="10" t="s">
        <v>305</v>
      </c>
      <c r="C43" s="11" t="s">
        <v>87</v>
      </c>
      <c r="D43" s="11" t="s">
        <v>464</v>
      </c>
      <c r="E43" s="11" t="s">
        <v>460</v>
      </c>
      <c r="F43" s="11" t="s">
        <v>98</v>
      </c>
      <c r="G43" s="13">
        <v>2</v>
      </c>
      <c r="H43" s="13">
        <v>2</v>
      </c>
      <c r="I43" s="13">
        <v>6</v>
      </c>
      <c r="J43" s="13">
        <v>6</v>
      </c>
      <c r="K43" s="13">
        <v>4</v>
      </c>
      <c r="L43" s="13">
        <v>6</v>
      </c>
      <c r="M43" s="13">
        <v>4</v>
      </c>
      <c r="N43" s="13">
        <v>6</v>
      </c>
      <c r="O43" s="13">
        <v>4</v>
      </c>
      <c r="P43" s="13"/>
      <c r="Q43" s="13"/>
      <c r="R43" s="11" t="s">
        <v>95</v>
      </c>
      <c r="S43" s="11" t="s">
        <v>457</v>
      </c>
      <c r="T43" s="11" t="s">
        <v>450</v>
      </c>
      <c r="U43" s="13">
        <v>1</v>
      </c>
      <c r="V43" s="15">
        <f>H43+J43+L43+N43+P43</f>
        <v>20</v>
      </c>
      <c r="W43" s="15">
        <f>H43+I43+J43+K43+L43+M43+N43+O43+P43+Q43</f>
        <v>38</v>
      </c>
      <c r="X43" s="26">
        <f>V43/W43</f>
        <v>0.52631578947368418</v>
      </c>
      <c r="Y43" s="26">
        <f>H43/(H43+I43)</f>
        <v>0.25</v>
      </c>
      <c r="Z43" s="26">
        <f>J43/(J43+K43)</f>
        <v>0.6</v>
      </c>
      <c r="AA43" s="26" t="e">
        <f>L44/(L44+M44)</f>
        <v>#DIV/0!</v>
      </c>
      <c r="AB43" s="26">
        <f>N43/(N43+O43)</f>
        <v>0.6</v>
      </c>
      <c r="AC43" s="26" t="e">
        <f>P43/(P43+Q43)</f>
        <v>#DIV/0!</v>
      </c>
      <c r="AD43" s="26">
        <f>V43/W43</f>
        <v>0.52631578947368418</v>
      </c>
    </row>
    <row r="44" spans="1:30" x14ac:dyDescent="0.2">
      <c r="A44" s="14" t="s">
        <v>99</v>
      </c>
      <c r="B44" s="10" t="s">
        <v>438</v>
      </c>
      <c r="C44" s="10" t="s">
        <v>325</v>
      </c>
      <c r="D44" s="10" t="s">
        <v>464</v>
      </c>
      <c r="E44" s="10" t="s">
        <v>460</v>
      </c>
      <c r="F44" s="10" t="s">
        <v>332</v>
      </c>
      <c r="G44" s="16">
        <v>2</v>
      </c>
      <c r="H44" s="16">
        <v>6</v>
      </c>
      <c r="I44" s="16">
        <v>4</v>
      </c>
      <c r="J44" s="16">
        <v>6</v>
      </c>
      <c r="K44" s="16">
        <v>4</v>
      </c>
      <c r="L44" s="16"/>
      <c r="M44" s="16"/>
      <c r="N44" s="16"/>
      <c r="O44" s="16"/>
      <c r="P44" s="16"/>
      <c r="Q44" s="16"/>
      <c r="R44" s="10" t="s">
        <v>331</v>
      </c>
      <c r="S44" s="10" t="s">
        <v>464</v>
      </c>
      <c r="T44" s="10" t="s">
        <v>460</v>
      </c>
      <c r="U44" s="16">
        <v>6</v>
      </c>
      <c r="V44" s="15">
        <f>H44+J44+L44+N44+P44</f>
        <v>12</v>
      </c>
      <c r="W44" s="15">
        <f>H44+I44+J44+K44+L44+M44+N44+O44+P44+Q44</f>
        <v>20</v>
      </c>
      <c r="X44" s="26">
        <f>V44/W44</f>
        <v>0.6</v>
      </c>
      <c r="Y44" s="26">
        <f>H44/(H44+I44)</f>
        <v>0.6</v>
      </c>
      <c r="Z44" s="26">
        <f>J44/(J44+K44)</f>
        <v>0.6</v>
      </c>
      <c r="AA44" s="26">
        <f>L45/(L45+M45)</f>
        <v>0.4</v>
      </c>
      <c r="AB44" s="26" t="e">
        <f>N44/(N44+O44)</f>
        <v>#DIV/0!</v>
      </c>
      <c r="AC44" s="26" t="e">
        <f>P44/(P44+Q44)</f>
        <v>#DIV/0!</v>
      </c>
      <c r="AD44" s="26">
        <f>V44/W44</f>
        <v>0.6</v>
      </c>
    </row>
    <row r="45" spans="1:30" x14ac:dyDescent="0.2">
      <c r="A45" s="14" t="s">
        <v>99</v>
      </c>
      <c r="B45" s="10" t="s">
        <v>305</v>
      </c>
      <c r="C45" s="10" t="s">
        <v>100</v>
      </c>
      <c r="D45" s="10" t="s">
        <v>464</v>
      </c>
      <c r="E45" s="10" t="s">
        <v>460</v>
      </c>
      <c r="F45" s="10" t="s">
        <v>101</v>
      </c>
      <c r="G45" s="16">
        <v>2</v>
      </c>
      <c r="H45" s="16">
        <v>6</v>
      </c>
      <c r="I45" s="16">
        <v>2</v>
      </c>
      <c r="J45" s="16">
        <v>6</v>
      </c>
      <c r="K45" s="16">
        <v>3</v>
      </c>
      <c r="L45" s="16">
        <v>4</v>
      </c>
      <c r="M45" s="16">
        <v>6</v>
      </c>
      <c r="N45" s="16">
        <v>3</v>
      </c>
      <c r="O45" s="16">
        <v>6</v>
      </c>
      <c r="P45" s="16">
        <v>9</v>
      </c>
      <c r="Q45" s="16">
        <v>7</v>
      </c>
      <c r="R45" s="10" t="s">
        <v>87</v>
      </c>
      <c r="S45" s="10" t="s">
        <v>464</v>
      </c>
      <c r="T45" s="10" t="s">
        <v>460</v>
      </c>
      <c r="U45" s="16">
        <v>1</v>
      </c>
      <c r="V45" s="15">
        <f>H45+J45+L45+N45+P45</f>
        <v>28</v>
      </c>
      <c r="W45" s="15">
        <f>H45+I45+J45+K45+L45+M45+N45+O45+P45+Q45</f>
        <v>52</v>
      </c>
      <c r="X45" s="26">
        <f>V45/W45</f>
        <v>0.53846153846153844</v>
      </c>
      <c r="Y45" s="26">
        <f>H45/(H45+I45)</f>
        <v>0.75</v>
      </c>
      <c r="Z45" s="26">
        <f>J45/(J45+K45)</f>
        <v>0.66666666666666663</v>
      </c>
      <c r="AA45" s="26">
        <f>L46/(L46+M46)</f>
        <v>0.6</v>
      </c>
      <c r="AB45" s="26">
        <f>N45/(N45+O45)</f>
        <v>0.33333333333333331</v>
      </c>
      <c r="AC45" s="26">
        <f>P45/(P45+Q45)</f>
        <v>0.5625</v>
      </c>
      <c r="AD45" s="26">
        <f>V45/W45</f>
        <v>0.53846153846153844</v>
      </c>
    </row>
    <row r="46" spans="1:30" x14ac:dyDescent="0.2">
      <c r="A46" s="9" t="s">
        <v>102</v>
      </c>
      <c r="B46" s="10" t="s">
        <v>438</v>
      </c>
      <c r="C46" s="11" t="s">
        <v>331</v>
      </c>
      <c r="D46" s="11" t="s">
        <v>464</v>
      </c>
      <c r="E46" s="11" t="s">
        <v>460</v>
      </c>
      <c r="F46" s="11" t="s">
        <v>334</v>
      </c>
      <c r="G46" s="13">
        <v>2</v>
      </c>
      <c r="H46" s="13">
        <v>6</v>
      </c>
      <c r="I46" s="13">
        <v>3</v>
      </c>
      <c r="J46" s="13">
        <v>5</v>
      </c>
      <c r="K46" s="13">
        <v>7</v>
      </c>
      <c r="L46" s="13">
        <v>6</v>
      </c>
      <c r="M46" s="13">
        <v>4</v>
      </c>
      <c r="N46" s="13"/>
      <c r="O46" s="13"/>
      <c r="P46" s="13"/>
      <c r="Q46" s="13"/>
      <c r="R46" s="11" t="s">
        <v>333</v>
      </c>
      <c r="S46" s="11" t="s">
        <v>464</v>
      </c>
      <c r="T46" s="11" t="s">
        <v>460</v>
      </c>
      <c r="U46" s="13">
        <v>7</v>
      </c>
      <c r="V46" s="15">
        <f>H46+J46+L46+N46+P46</f>
        <v>17</v>
      </c>
      <c r="W46" s="15">
        <f>H46+I46+J46+K46+L46+M46+N46+O46+P46+Q46</f>
        <v>31</v>
      </c>
      <c r="X46" s="26">
        <f>V46/W46</f>
        <v>0.54838709677419351</v>
      </c>
      <c r="Y46" s="26">
        <f>H46/(H46+I46)</f>
        <v>0.66666666666666663</v>
      </c>
      <c r="Z46" s="26">
        <f>J46/(J46+K46)</f>
        <v>0.41666666666666669</v>
      </c>
      <c r="AA46" s="26">
        <f>L47/(L47+M47)</f>
        <v>1</v>
      </c>
      <c r="AB46" s="26" t="e">
        <f>N46/(N46+O46)</f>
        <v>#DIV/0!</v>
      </c>
      <c r="AC46" s="26" t="e">
        <f>P46/(P46+Q46)</f>
        <v>#DIV/0!</v>
      </c>
      <c r="AD46" s="26">
        <f>V46/W46</f>
        <v>0.54838709677419351</v>
      </c>
    </row>
    <row r="47" spans="1:30" x14ac:dyDescent="0.2">
      <c r="A47" s="9" t="s">
        <v>102</v>
      </c>
      <c r="B47" s="10" t="s">
        <v>305</v>
      </c>
      <c r="C47" s="11" t="s">
        <v>103</v>
      </c>
      <c r="D47" s="11" t="s">
        <v>464</v>
      </c>
      <c r="E47" s="11" t="s">
        <v>460</v>
      </c>
      <c r="F47" s="11" t="s">
        <v>105</v>
      </c>
      <c r="G47" s="13">
        <v>3</v>
      </c>
      <c r="H47" s="13">
        <v>6</v>
      </c>
      <c r="I47" s="13">
        <v>3</v>
      </c>
      <c r="J47" s="13">
        <v>1</v>
      </c>
      <c r="K47" s="13">
        <v>6</v>
      </c>
      <c r="L47" s="13">
        <v>6</v>
      </c>
      <c r="M47" s="13">
        <v>0</v>
      </c>
      <c r="N47" s="13">
        <v>2</v>
      </c>
      <c r="O47" s="13">
        <v>6</v>
      </c>
      <c r="P47" s="13">
        <v>6</v>
      </c>
      <c r="Q47" s="13">
        <v>1</v>
      </c>
      <c r="R47" s="11" t="s">
        <v>104</v>
      </c>
      <c r="S47" s="11" t="s">
        <v>464</v>
      </c>
      <c r="T47" s="11" t="s">
        <v>460</v>
      </c>
      <c r="U47" s="13">
        <v>4</v>
      </c>
      <c r="V47" s="15">
        <f>H47+J47+L47+N47+P47</f>
        <v>21</v>
      </c>
      <c r="W47" s="15">
        <f>H47+I47+J47+K47+L47+M47+N47+O47+P47+Q47</f>
        <v>37</v>
      </c>
      <c r="X47" s="26">
        <f>V47/W47</f>
        <v>0.56756756756756754</v>
      </c>
      <c r="Y47" s="26">
        <f>H47/(H47+I47)</f>
        <v>0.66666666666666663</v>
      </c>
      <c r="Z47" s="26">
        <f>J47/(J47+K47)</f>
        <v>0.14285714285714285</v>
      </c>
      <c r="AA47" s="26" t="e">
        <f>L48/(L48+M48)</f>
        <v>#DIV/0!</v>
      </c>
      <c r="AB47" s="26">
        <f>N47/(N47+O47)</f>
        <v>0.25</v>
      </c>
      <c r="AC47" s="26">
        <f>P47/(P47+Q47)</f>
        <v>0.8571428571428571</v>
      </c>
      <c r="AD47" s="26">
        <f>V47/W47</f>
        <v>0.56756756756756754</v>
      </c>
    </row>
    <row r="48" spans="1:30" x14ac:dyDescent="0.2">
      <c r="A48" s="14" t="s">
        <v>106</v>
      </c>
      <c r="B48" s="10" t="s">
        <v>438</v>
      </c>
      <c r="C48" s="10" t="s">
        <v>335</v>
      </c>
      <c r="D48" s="10" t="s">
        <v>467</v>
      </c>
      <c r="E48" s="18" t="s">
        <v>442</v>
      </c>
      <c r="F48" s="10" t="s">
        <v>337</v>
      </c>
      <c r="G48" s="16">
        <v>1</v>
      </c>
      <c r="H48" s="16">
        <v>6</v>
      </c>
      <c r="I48" s="16">
        <v>3</v>
      </c>
      <c r="J48" s="16">
        <v>6</v>
      </c>
      <c r="K48" s="16">
        <v>2</v>
      </c>
      <c r="L48" s="16"/>
      <c r="M48" s="16"/>
      <c r="N48" s="16"/>
      <c r="O48" s="16"/>
      <c r="P48" s="16"/>
      <c r="Q48" s="16"/>
      <c r="R48" s="10" t="s">
        <v>336</v>
      </c>
      <c r="S48" s="10" t="s">
        <v>464</v>
      </c>
      <c r="T48" s="10" t="s">
        <v>460</v>
      </c>
      <c r="U48" s="16">
        <v>7</v>
      </c>
      <c r="V48" s="15">
        <f>H48+J48+L48+N48+P48</f>
        <v>12</v>
      </c>
      <c r="W48" s="15">
        <f>H48+I48+J48+K48+L48+M48+N48+O48+P48+Q48</f>
        <v>17</v>
      </c>
      <c r="X48" s="26">
        <f>V48/W48</f>
        <v>0.70588235294117652</v>
      </c>
      <c r="Y48" s="26">
        <f>H48/(H48+I48)</f>
        <v>0.66666666666666663</v>
      </c>
      <c r="Z48" s="26">
        <f>J48/(J48+K48)</f>
        <v>0.75</v>
      </c>
      <c r="AA48" s="26">
        <f>L49/(L49+M49)</f>
        <v>0.8571428571428571</v>
      </c>
      <c r="AB48" s="26" t="e">
        <f>N48/(N48+O48)</f>
        <v>#DIV/0!</v>
      </c>
      <c r="AC48" s="26" t="e">
        <f>P48/(P48+Q48)</f>
        <v>#DIV/0!</v>
      </c>
      <c r="AD48" s="26">
        <f>V48/W48</f>
        <v>0.70588235294117652</v>
      </c>
    </row>
    <row r="49" spans="1:30" x14ac:dyDescent="0.2">
      <c r="A49" s="14" t="s">
        <v>106</v>
      </c>
      <c r="B49" s="10" t="s">
        <v>305</v>
      </c>
      <c r="C49" s="10" t="s">
        <v>107</v>
      </c>
      <c r="D49" s="10" t="s">
        <v>467</v>
      </c>
      <c r="E49" s="18" t="s">
        <v>442</v>
      </c>
      <c r="F49" s="10" t="s">
        <v>108</v>
      </c>
      <c r="G49" s="16">
        <v>1</v>
      </c>
      <c r="H49" s="16">
        <v>6</v>
      </c>
      <c r="I49" s="16">
        <v>4</v>
      </c>
      <c r="J49" s="16">
        <v>6</v>
      </c>
      <c r="K49" s="16">
        <v>2</v>
      </c>
      <c r="L49" s="16">
        <v>6</v>
      </c>
      <c r="M49" s="16">
        <v>1</v>
      </c>
      <c r="N49" s="16"/>
      <c r="O49" s="16"/>
      <c r="P49" s="16"/>
      <c r="Q49" s="16"/>
      <c r="R49" s="10" t="s">
        <v>104</v>
      </c>
      <c r="S49" s="10" t="s">
        <v>464</v>
      </c>
      <c r="T49" s="10" t="s">
        <v>460</v>
      </c>
      <c r="U49" s="16">
        <v>4</v>
      </c>
      <c r="V49" s="15">
        <f>H49+J49+L49+N49+P49</f>
        <v>18</v>
      </c>
      <c r="W49" s="15">
        <f>H49+I49+J49+K49+L49+M49+N49+O49+P49+Q49</f>
        <v>25</v>
      </c>
      <c r="X49" s="26">
        <f>V49/W49</f>
        <v>0.72</v>
      </c>
      <c r="Y49" s="26">
        <f>H49/(H49+I49)</f>
        <v>0.6</v>
      </c>
      <c r="Z49" s="26">
        <f>J49/(J49+K49)</f>
        <v>0.75</v>
      </c>
      <c r="AA49" s="26" t="e">
        <f>L50/(L50+M50)</f>
        <v>#DIV/0!</v>
      </c>
      <c r="AB49" s="26" t="e">
        <f>N49/(N49+O49)</f>
        <v>#DIV/0!</v>
      </c>
      <c r="AC49" s="26" t="e">
        <f>P49/(P49+Q49)</f>
        <v>#DIV/0!</v>
      </c>
      <c r="AD49" s="26">
        <f>V49/W49</f>
        <v>0.72</v>
      </c>
    </row>
    <row r="50" spans="1:30" x14ac:dyDescent="0.2">
      <c r="A50" s="9" t="s">
        <v>109</v>
      </c>
      <c r="B50" s="10" t="s">
        <v>438</v>
      </c>
      <c r="C50" s="11" t="s">
        <v>333</v>
      </c>
      <c r="D50" s="11" t="s">
        <v>464</v>
      </c>
      <c r="E50" s="11" t="s">
        <v>460</v>
      </c>
      <c r="F50" s="11" t="s">
        <v>339</v>
      </c>
      <c r="G50" s="13">
        <v>6</v>
      </c>
      <c r="H50" s="13">
        <v>6</v>
      </c>
      <c r="I50" s="13">
        <v>1</v>
      </c>
      <c r="J50" s="13">
        <v>6</v>
      </c>
      <c r="K50" s="13">
        <v>2</v>
      </c>
      <c r="L50" s="13"/>
      <c r="M50" s="13"/>
      <c r="N50" s="13"/>
      <c r="O50" s="13"/>
      <c r="P50" s="13"/>
      <c r="Q50" s="13"/>
      <c r="R50" s="11" t="s">
        <v>338</v>
      </c>
      <c r="S50" s="11" t="s">
        <v>464</v>
      </c>
      <c r="T50" s="11" t="s">
        <v>460</v>
      </c>
      <c r="U50" s="13">
        <v>3</v>
      </c>
      <c r="V50" s="15">
        <f>H50+J50+L50+N50+P50</f>
        <v>12</v>
      </c>
      <c r="W50" s="15">
        <f>H50+I50+J50+K50+L50+M50+N50+O50+P50+Q50</f>
        <v>15</v>
      </c>
      <c r="X50" s="26">
        <f>V50/W50</f>
        <v>0.8</v>
      </c>
      <c r="Y50" s="26">
        <f>H50/(H50+I50)</f>
        <v>0.8571428571428571</v>
      </c>
      <c r="Z50" s="26">
        <f>J50/(J50+K50)</f>
        <v>0.75</v>
      </c>
      <c r="AA50" s="26">
        <f>L51/(L51+M51)</f>
        <v>0.66666666666666663</v>
      </c>
      <c r="AB50" s="26" t="e">
        <f>N50/(N50+O50)</f>
        <v>#DIV/0!</v>
      </c>
      <c r="AC50" s="26" t="e">
        <f>P50/(P50+Q50)</f>
        <v>#DIV/0!</v>
      </c>
      <c r="AD50" s="26">
        <f>V50/W50</f>
        <v>0.8</v>
      </c>
    </row>
    <row r="51" spans="1:30" x14ac:dyDescent="0.2">
      <c r="A51" s="9" t="s">
        <v>109</v>
      </c>
      <c r="B51" s="10" t="s">
        <v>305</v>
      </c>
      <c r="C51" s="11" t="s">
        <v>104</v>
      </c>
      <c r="D51" s="11" t="s">
        <v>464</v>
      </c>
      <c r="E51" s="11" t="s">
        <v>460</v>
      </c>
      <c r="F51" s="11" t="s">
        <v>110</v>
      </c>
      <c r="G51" s="13">
        <v>1</v>
      </c>
      <c r="H51" s="13">
        <v>6</v>
      </c>
      <c r="I51" s="13">
        <v>4</v>
      </c>
      <c r="J51" s="13">
        <v>6</v>
      </c>
      <c r="K51" s="13">
        <v>1</v>
      </c>
      <c r="L51" s="13">
        <v>6</v>
      </c>
      <c r="M51" s="13">
        <v>3</v>
      </c>
      <c r="N51" s="13"/>
      <c r="O51" s="13"/>
      <c r="P51" s="13"/>
      <c r="Q51" s="13"/>
      <c r="R51" s="11" t="s">
        <v>100</v>
      </c>
      <c r="S51" s="11" t="s">
        <v>464</v>
      </c>
      <c r="T51" s="11" t="s">
        <v>460</v>
      </c>
      <c r="U51" s="13">
        <v>2</v>
      </c>
      <c r="V51" s="15">
        <f>H51+J51+L51+N51+P51</f>
        <v>18</v>
      </c>
      <c r="W51" s="15">
        <f>H51+I51+J51+K51+L51+M51+N51+O51+P51+Q51</f>
        <v>26</v>
      </c>
      <c r="X51" s="26">
        <f>V51/W51</f>
        <v>0.69230769230769229</v>
      </c>
      <c r="Y51" s="26">
        <f>H51/(H51+I51)</f>
        <v>0.6</v>
      </c>
      <c r="Z51" s="26">
        <f>J51/(J51+K51)</f>
        <v>0.8571428571428571</v>
      </c>
      <c r="AA51" s="26">
        <f>L52/(L52+M52)</f>
        <v>1</v>
      </c>
      <c r="AB51" s="26" t="e">
        <f>N51/(N51+O51)</f>
        <v>#DIV/0!</v>
      </c>
      <c r="AC51" s="26" t="e">
        <f>P51/(P51+Q51)</f>
        <v>#DIV/0!</v>
      </c>
      <c r="AD51" s="26">
        <f>V51/W51</f>
        <v>0.69230769230769229</v>
      </c>
    </row>
    <row r="52" spans="1:30" x14ac:dyDescent="0.2">
      <c r="A52" s="14" t="s">
        <v>111</v>
      </c>
      <c r="B52" s="10" t="s">
        <v>438</v>
      </c>
      <c r="C52" s="10" t="s">
        <v>331</v>
      </c>
      <c r="D52" s="10" t="s">
        <v>464</v>
      </c>
      <c r="E52" s="10" t="s">
        <v>460</v>
      </c>
      <c r="F52" s="10" t="s">
        <v>341</v>
      </c>
      <c r="G52" s="16">
        <v>1</v>
      </c>
      <c r="H52" s="16">
        <v>5</v>
      </c>
      <c r="I52" s="16">
        <v>7</v>
      </c>
      <c r="J52" s="16">
        <v>6</v>
      </c>
      <c r="K52" s="16">
        <v>4</v>
      </c>
      <c r="L52" s="16">
        <v>6</v>
      </c>
      <c r="M52" s="16">
        <v>0</v>
      </c>
      <c r="N52" s="16"/>
      <c r="O52" s="16"/>
      <c r="P52" s="16"/>
      <c r="Q52" s="16"/>
      <c r="R52" s="10" t="s">
        <v>340</v>
      </c>
      <c r="S52" s="10" t="s">
        <v>464</v>
      </c>
      <c r="T52" s="10" t="s">
        <v>460</v>
      </c>
      <c r="U52" s="16">
        <v>2</v>
      </c>
      <c r="V52" s="15">
        <f>H52+J52+L52+N52+P52</f>
        <v>17</v>
      </c>
      <c r="W52" s="15">
        <f>H52+I52+J52+K52+L52+M52+N52+O52+P52+Q52</f>
        <v>28</v>
      </c>
      <c r="X52" s="26">
        <f>V52/W52</f>
        <v>0.6071428571428571</v>
      </c>
      <c r="Y52" s="26">
        <f>H52/(H52+I52)</f>
        <v>0.41666666666666669</v>
      </c>
      <c r="Z52" s="26">
        <f>J52/(J52+K52)</f>
        <v>0.6</v>
      </c>
      <c r="AA52" s="26">
        <f>L53/(L53+M53)</f>
        <v>0.75</v>
      </c>
      <c r="AB52" s="26" t="e">
        <f>N52/(N52+O52)</f>
        <v>#DIV/0!</v>
      </c>
      <c r="AC52" s="26" t="e">
        <f>P52/(P52+Q52)</f>
        <v>#DIV/0!</v>
      </c>
      <c r="AD52" s="26">
        <f>V52/W52</f>
        <v>0.6071428571428571</v>
      </c>
    </row>
    <row r="53" spans="1:30" x14ac:dyDescent="0.2">
      <c r="A53" s="14" t="s">
        <v>111</v>
      </c>
      <c r="B53" s="10" t="s">
        <v>305</v>
      </c>
      <c r="C53" s="10" t="s">
        <v>100</v>
      </c>
      <c r="D53" s="10" t="s">
        <v>464</v>
      </c>
      <c r="E53" s="10" t="s">
        <v>460</v>
      </c>
      <c r="F53" s="10" t="s">
        <v>112</v>
      </c>
      <c r="G53" s="16">
        <v>2</v>
      </c>
      <c r="H53" s="16">
        <v>6</v>
      </c>
      <c r="I53" s="16">
        <v>3</v>
      </c>
      <c r="J53" s="16">
        <v>6</v>
      </c>
      <c r="K53" s="16">
        <v>1</v>
      </c>
      <c r="L53" s="16">
        <v>6</v>
      </c>
      <c r="M53" s="16">
        <v>2</v>
      </c>
      <c r="N53" s="16"/>
      <c r="O53" s="16"/>
      <c r="P53" s="16"/>
      <c r="Q53" s="16"/>
      <c r="R53" s="10" t="s">
        <v>87</v>
      </c>
      <c r="S53" s="10" t="s">
        <v>464</v>
      </c>
      <c r="T53" s="10" t="s">
        <v>460</v>
      </c>
      <c r="U53" s="16">
        <v>4</v>
      </c>
      <c r="V53" s="15">
        <f>H53+J53+L53+N53+P53</f>
        <v>18</v>
      </c>
      <c r="W53" s="15">
        <f>H53+I53+J53+K53+L53+M53+N53+O53+P53+Q53</f>
        <v>24</v>
      </c>
      <c r="X53" s="26">
        <f>V53/W53</f>
        <v>0.75</v>
      </c>
      <c r="Y53" s="26">
        <f>H53/(H53+I53)</f>
        <v>0.66666666666666663</v>
      </c>
      <c r="Z53" s="26">
        <f>J53/(J53+K53)</f>
        <v>0.8571428571428571</v>
      </c>
      <c r="AA53" s="26" t="e">
        <f>L54/(L54+M54)</f>
        <v>#DIV/0!</v>
      </c>
      <c r="AB53" s="26" t="e">
        <f>N53/(N53+O53)</f>
        <v>#DIV/0!</v>
      </c>
      <c r="AC53" s="26" t="e">
        <f>P53/(P53+Q53)</f>
        <v>#DIV/0!</v>
      </c>
      <c r="AD53" s="26">
        <f>V53/W53</f>
        <v>0.75</v>
      </c>
    </row>
    <row r="54" spans="1:30" x14ac:dyDescent="0.2">
      <c r="A54" s="14" t="s">
        <v>113</v>
      </c>
      <c r="B54" s="10" t="s">
        <v>438</v>
      </c>
      <c r="C54" s="10" t="s">
        <v>331</v>
      </c>
      <c r="D54" s="10" t="s">
        <v>464</v>
      </c>
      <c r="E54" s="10" t="s">
        <v>460</v>
      </c>
      <c r="F54" s="10" t="s">
        <v>332</v>
      </c>
      <c r="G54" s="16">
        <v>1</v>
      </c>
      <c r="H54" s="13">
        <v>6</v>
      </c>
      <c r="I54" s="13">
        <v>4</v>
      </c>
      <c r="J54" s="13">
        <v>6</v>
      </c>
      <c r="K54" s="13">
        <v>4</v>
      </c>
      <c r="L54" s="13"/>
      <c r="M54" s="13"/>
      <c r="N54" s="13"/>
      <c r="O54" s="13"/>
      <c r="P54" s="13"/>
      <c r="Q54" s="13"/>
      <c r="R54" s="10" t="s">
        <v>342</v>
      </c>
      <c r="S54" s="10" t="s">
        <v>464</v>
      </c>
      <c r="T54" s="10" t="s">
        <v>460</v>
      </c>
      <c r="U54" s="16">
        <v>8</v>
      </c>
      <c r="V54" s="15">
        <f>H54+J54+L54+N54+P54</f>
        <v>12</v>
      </c>
      <c r="W54" s="15">
        <f>H54+I54+J54+K54+L54+M54+N54+O54+P54+Q54</f>
        <v>20</v>
      </c>
      <c r="X54" s="26">
        <f>V54/W54</f>
        <v>0.6</v>
      </c>
      <c r="Y54" s="26">
        <f>H54/(H54+I54)</f>
        <v>0.6</v>
      </c>
      <c r="Z54" s="26">
        <f>J54/(J54+K54)</f>
        <v>0.6</v>
      </c>
      <c r="AA54" s="26">
        <f>L55/(L55+M55)</f>
        <v>0.58333333333333337</v>
      </c>
      <c r="AB54" s="26" t="e">
        <f>N54/(N54+O54)</f>
        <v>#DIV/0!</v>
      </c>
      <c r="AC54" s="26" t="e">
        <f>P54/(P54+Q54)</f>
        <v>#DIV/0!</v>
      </c>
      <c r="AD54" s="26">
        <f>V54/W54</f>
        <v>0.6</v>
      </c>
    </row>
    <row r="55" spans="1:30" x14ac:dyDescent="0.2">
      <c r="A55" s="9" t="s">
        <v>113</v>
      </c>
      <c r="B55" s="10" t="s">
        <v>305</v>
      </c>
      <c r="C55" s="11" t="s">
        <v>104</v>
      </c>
      <c r="D55" s="11" t="s">
        <v>464</v>
      </c>
      <c r="E55" s="11" t="s">
        <v>460</v>
      </c>
      <c r="F55" s="11" t="s">
        <v>115</v>
      </c>
      <c r="G55" s="13">
        <v>1</v>
      </c>
      <c r="H55" s="13">
        <v>5</v>
      </c>
      <c r="I55" s="13">
        <v>7</v>
      </c>
      <c r="J55" s="13">
        <v>6</v>
      </c>
      <c r="K55" s="13">
        <v>3</v>
      </c>
      <c r="L55" s="13">
        <v>7</v>
      </c>
      <c r="M55" s="13">
        <v>5</v>
      </c>
      <c r="N55" s="13">
        <v>3</v>
      </c>
      <c r="O55" s="13">
        <v>6</v>
      </c>
      <c r="P55" s="13">
        <v>6</v>
      </c>
      <c r="Q55" s="13">
        <v>2</v>
      </c>
      <c r="R55" s="11" t="s">
        <v>114</v>
      </c>
      <c r="S55" s="11" t="s">
        <v>464</v>
      </c>
      <c r="T55" s="11" t="s">
        <v>460</v>
      </c>
      <c r="U55" s="13">
        <v>3</v>
      </c>
      <c r="V55" s="15">
        <f>H55+J55+L55+N55+P55</f>
        <v>27</v>
      </c>
      <c r="W55" s="15">
        <f>H55+I55+J55+K55+L55+M55+N55+O55+P55+Q55</f>
        <v>50</v>
      </c>
      <c r="X55" s="26">
        <f>V55/W55</f>
        <v>0.54</v>
      </c>
      <c r="Y55" s="26">
        <f>H55/(H55+I55)</f>
        <v>0.41666666666666669</v>
      </c>
      <c r="Z55" s="26">
        <f>J55/(J55+K55)</f>
        <v>0.66666666666666663</v>
      </c>
      <c r="AA55" s="26" t="e">
        <f>L56/(L56+M56)</f>
        <v>#DIV/0!</v>
      </c>
      <c r="AB55" s="26">
        <f>N55/(N55+O55)</f>
        <v>0.33333333333333331</v>
      </c>
      <c r="AC55" s="26">
        <f>P55/(P55+Q55)</f>
        <v>0.75</v>
      </c>
      <c r="AD55" s="26">
        <f>V55/W55</f>
        <v>0.54</v>
      </c>
    </row>
    <row r="56" spans="1:30" x14ac:dyDescent="0.2">
      <c r="A56" s="9" t="s">
        <v>116</v>
      </c>
      <c r="B56" s="10" t="s">
        <v>438</v>
      </c>
      <c r="C56" s="11" t="s">
        <v>331</v>
      </c>
      <c r="D56" s="11" t="s">
        <v>464</v>
      </c>
      <c r="E56" s="11" t="s">
        <v>460</v>
      </c>
      <c r="F56" s="11" t="s">
        <v>337</v>
      </c>
      <c r="G56" s="13">
        <v>1</v>
      </c>
      <c r="H56" s="16">
        <v>6</v>
      </c>
      <c r="I56" s="16">
        <v>3</v>
      </c>
      <c r="J56" s="16">
        <v>6</v>
      </c>
      <c r="K56" s="16">
        <v>2</v>
      </c>
      <c r="L56" s="16"/>
      <c r="M56" s="16"/>
      <c r="N56" s="16"/>
      <c r="O56" s="16"/>
      <c r="P56" s="16"/>
      <c r="Q56" s="16"/>
      <c r="R56" s="11" t="s">
        <v>338</v>
      </c>
      <c r="S56" s="11" t="s">
        <v>464</v>
      </c>
      <c r="T56" s="11" t="s">
        <v>460</v>
      </c>
      <c r="U56" s="13">
        <v>6</v>
      </c>
      <c r="V56" s="15">
        <f>H56+J56+L56+N56+P56</f>
        <v>12</v>
      </c>
      <c r="W56" s="15">
        <f>H56+I56+J56+K56+L56+M56+N56+O56+P56+Q56</f>
        <v>17</v>
      </c>
      <c r="X56" s="26">
        <f>V56/W56</f>
        <v>0.70588235294117652</v>
      </c>
      <c r="Y56" s="26">
        <f>H56/(H56+I56)</f>
        <v>0.66666666666666663</v>
      </c>
      <c r="Z56" s="26">
        <f>J56/(J56+K56)</f>
        <v>0.75</v>
      </c>
      <c r="AA56" s="26">
        <f>L57/(L57+M57)</f>
        <v>0.33333333333333331</v>
      </c>
      <c r="AB56" s="26" t="e">
        <f>N56/(N56+O56)</f>
        <v>#DIV/0!</v>
      </c>
      <c r="AC56" s="26" t="e">
        <f>P56/(P56+Q56)</f>
        <v>#DIV/0!</v>
      </c>
      <c r="AD56" s="26">
        <f>V56/W56</f>
        <v>0.70588235294117652</v>
      </c>
    </row>
    <row r="57" spans="1:30" x14ac:dyDescent="0.2">
      <c r="A57" s="14" t="s">
        <v>116</v>
      </c>
      <c r="B57" s="10" t="s">
        <v>305</v>
      </c>
      <c r="C57" s="10" t="s">
        <v>114</v>
      </c>
      <c r="D57" s="10" t="s">
        <v>464</v>
      </c>
      <c r="E57" s="10" t="s">
        <v>460</v>
      </c>
      <c r="F57" s="10" t="s">
        <v>117</v>
      </c>
      <c r="G57" s="16">
        <v>2</v>
      </c>
      <c r="H57" s="16">
        <v>4</v>
      </c>
      <c r="I57" s="16">
        <v>6</v>
      </c>
      <c r="J57" s="16">
        <v>6</v>
      </c>
      <c r="K57" s="16">
        <v>4</v>
      </c>
      <c r="L57" s="16">
        <v>3</v>
      </c>
      <c r="M57" s="16">
        <v>6</v>
      </c>
      <c r="N57" s="16">
        <v>7</v>
      </c>
      <c r="O57" s="16">
        <v>5</v>
      </c>
      <c r="P57" s="16">
        <v>8</v>
      </c>
      <c r="Q57" s="16">
        <v>6</v>
      </c>
      <c r="R57" s="10" t="s">
        <v>104</v>
      </c>
      <c r="S57" s="10" t="s">
        <v>464</v>
      </c>
      <c r="T57" s="10" t="s">
        <v>460</v>
      </c>
      <c r="U57" s="16">
        <v>1</v>
      </c>
      <c r="V57" s="15">
        <f>H57+J57+L57+N57+P57</f>
        <v>28</v>
      </c>
      <c r="W57" s="15">
        <f>H57+I57+J57+K57+L57+M57+N57+O57+P57+Q57</f>
        <v>55</v>
      </c>
      <c r="X57" s="26">
        <f>V57/W57</f>
        <v>0.50909090909090904</v>
      </c>
      <c r="Y57" s="26">
        <f>H57/(H57+I57)</f>
        <v>0.4</v>
      </c>
      <c r="Z57" s="26">
        <f>J57/(J57+K57)</f>
        <v>0.6</v>
      </c>
      <c r="AA57" s="26" t="e">
        <f>L58/(L58+M58)</f>
        <v>#DIV/0!</v>
      </c>
      <c r="AB57" s="26">
        <f>N57/(N57+O57)</f>
        <v>0.58333333333333337</v>
      </c>
      <c r="AC57" s="26">
        <f>P57/(P57+Q57)</f>
        <v>0.5714285714285714</v>
      </c>
      <c r="AD57" s="26">
        <f>V57/W57</f>
        <v>0.50909090909090904</v>
      </c>
    </row>
    <row r="58" spans="1:30" x14ac:dyDescent="0.2">
      <c r="A58" s="14" t="s">
        <v>118</v>
      </c>
      <c r="B58" s="10" t="s">
        <v>438</v>
      </c>
      <c r="C58" s="10" t="s">
        <v>331</v>
      </c>
      <c r="D58" s="10" t="s">
        <v>464</v>
      </c>
      <c r="E58" s="10" t="s">
        <v>460</v>
      </c>
      <c r="F58" s="10" t="s">
        <v>344</v>
      </c>
      <c r="G58" s="16">
        <v>1</v>
      </c>
      <c r="H58" s="13">
        <v>6</v>
      </c>
      <c r="I58" s="13">
        <v>3</v>
      </c>
      <c r="J58" s="13">
        <v>6</v>
      </c>
      <c r="K58" s="13">
        <v>1</v>
      </c>
      <c r="L58" s="13"/>
      <c r="M58" s="13"/>
      <c r="N58" s="13"/>
      <c r="O58" s="13"/>
      <c r="P58" s="13"/>
      <c r="Q58" s="13"/>
      <c r="R58" s="10" t="s">
        <v>343</v>
      </c>
      <c r="S58" s="10" t="s">
        <v>464</v>
      </c>
      <c r="T58" s="10" t="s">
        <v>460</v>
      </c>
      <c r="U58" s="16">
        <v>4</v>
      </c>
      <c r="V58" s="15">
        <f>H58+J58+L58+N58+P58</f>
        <v>12</v>
      </c>
      <c r="W58" s="15">
        <f>H58+I58+J58+K58+L58+M58+N58+O58+P58+Q58</f>
        <v>16</v>
      </c>
      <c r="X58" s="26">
        <f>V58/W58</f>
        <v>0.75</v>
      </c>
      <c r="Y58" s="26">
        <f>H58/(H58+I58)</f>
        <v>0.66666666666666663</v>
      </c>
      <c r="Z58" s="26">
        <f>J58/(J58+K58)</f>
        <v>0.8571428571428571</v>
      </c>
      <c r="AA58" s="26">
        <f>L59/(L59+M59)</f>
        <v>0.66666666666666663</v>
      </c>
      <c r="AB58" s="26" t="e">
        <f>N58/(N58+O58)</f>
        <v>#DIV/0!</v>
      </c>
      <c r="AC58" s="26" t="e">
        <f>P58/(P58+Q58)</f>
        <v>#DIV/0!</v>
      </c>
      <c r="AD58" s="26">
        <f>V58/W58</f>
        <v>0.75</v>
      </c>
    </row>
    <row r="59" spans="1:30" x14ac:dyDescent="0.2">
      <c r="A59" s="9" t="s">
        <v>118</v>
      </c>
      <c r="B59" s="10" t="s">
        <v>305</v>
      </c>
      <c r="C59" s="11" t="s">
        <v>100</v>
      </c>
      <c r="D59" s="11" t="s">
        <v>464</v>
      </c>
      <c r="E59" s="11" t="s">
        <v>460</v>
      </c>
      <c r="F59" s="11" t="s">
        <v>119</v>
      </c>
      <c r="G59" s="13">
        <v>2</v>
      </c>
      <c r="H59" s="13">
        <v>6</v>
      </c>
      <c r="I59" s="13">
        <v>4</v>
      </c>
      <c r="J59" s="13">
        <v>3</v>
      </c>
      <c r="K59" s="13">
        <v>6</v>
      </c>
      <c r="L59" s="13">
        <v>6</v>
      </c>
      <c r="M59" s="13">
        <v>3</v>
      </c>
      <c r="N59" s="13">
        <v>2</v>
      </c>
      <c r="O59" s="13">
        <v>6</v>
      </c>
      <c r="P59" s="13">
        <v>6</v>
      </c>
      <c r="Q59" s="13">
        <v>3</v>
      </c>
      <c r="R59" s="11" t="s">
        <v>104</v>
      </c>
      <c r="S59" s="11" t="s">
        <v>464</v>
      </c>
      <c r="T59" s="11" t="s">
        <v>460</v>
      </c>
      <c r="U59" s="13">
        <v>1</v>
      </c>
      <c r="V59" s="15">
        <f>H59+J59+L59+N59+P59</f>
        <v>23</v>
      </c>
      <c r="W59" s="15">
        <f>H59+I59+J59+K59+L59+M59+N59+O59+P59+Q59</f>
        <v>45</v>
      </c>
      <c r="X59" s="26">
        <f>V59/W59</f>
        <v>0.51111111111111107</v>
      </c>
      <c r="Y59" s="26">
        <f>H59/(H59+I59)</f>
        <v>0.6</v>
      </c>
      <c r="Z59" s="26">
        <f>J59/(J59+K59)</f>
        <v>0.33333333333333331</v>
      </c>
      <c r="AA59" s="26" t="e">
        <f>L60/(L60+M60)</f>
        <v>#DIV/0!</v>
      </c>
      <c r="AB59" s="26">
        <f>N59/(N59+O59)</f>
        <v>0.25</v>
      </c>
      <c r="AC59" s="26">
        <f>P59/(P59+Q59)</f>
        <v>0.66666666666666663</v>
      </c>
      <c r="AD59" s="26">
        <f>V59/W59</f>
        <v>0.51111111111111107</v>
      </c>
    </row>
    <row r="60" spans="1:30" x14ac:dyDescent="0.2">
      <c r="A60" s="9" t="s">
        <v>120</v>
      </c>
      <c r="B60" s="10" t="s">
        <v>438</v>
      </c>
      <c r="C60" s="11" t="s">
        <v>345</v>
      </c>
      <c r="D60" s="11" t="s">
        <v>467</v>
      </c>
      <c r="E60" s="11" t="s">
        <v>442</v>
      </c>
      <c r="F60" s="11" t="s">
        <v>346</v>
      </c>
      <c r="G60" s="13">
        <v>1</v>
      </c>
      <c r="H60" s="16">
        <v>6</v>
      </c>
      <c r="I60" s="16">
        <v>3</v>
      </c>
      <c r="J60" s="16">
        <v>6</v>
      </c>
      <c r="K60" s="16">
        <v>4</v>
      </c>
      <c r="L60" s="16"/>
      <c r="M60" s="16"/>
      <c r="N60" s="16"/>
      <c r="O60" s="16"/>
      <c r="P60" s="16"/>
      <c r="Q60" s="16"/>
      <c r="R60" s="11" t="s">
        <v>331</v>
      </c>
      <c r="S60" s="11" t="s">
        <v>464</v>
      </c>
      <c r="T60" s="11" t="s">
        <v>460</v>
      </c>
      <c r="U60" s="13">
        <v>2</v>
      </c>
      <c r="V60" s="15">
        <f>H60+J60+L60+N60+P60</f>
        <v>12</v>
      </c>
      <c r="W60" s="15">
        <f>H60+I60+J60+K60+L60+M60+N60+O60+P60+Q60</f>
        <v>19</v>
      </c>
      <c r="X60" s="26">
        <f>V60/W60</f>
        <v>0.63157894736842102</v>
      </c>
      <c r="Y60" s="26">
        <f>H60/(H60+I60)</f>
        <v>0.66666666666666663</v>
      </c>
      <c r="Z60" s="26">
        <f>J60/(J60+K60)</f>
        <v>0.6</v>
      </c>
      <c r="AA60" s="26">
        <f>L61/(L61+M61)</f>
        <v>0.75</v>
      </c>
      <c r="AB60" s="26" t="e">
        <f>N60/(N60+O60)</f>
        <v>#DIV/0!</v>
      </c>
      <c r="AC60" s="26" t="e">
        <f>P60/(P60+Q60)</f>
        <v>#DIV/0!</v>
      </c>
      <c r="AD60" s="26">
        <f>V60/W60</f>
        <v>0.63157894736842102</v>
      </c>
    </row>
    <row r="61" spans="1:30" x14ac:dyDescent="0.2">
      <c r="A61" s="14" t="s">
        <v>120</v>
      </c>
      <c r="B61" s="10" t="s">
        <v>305</v>
      </c>
      <c r="C61" s="10" t="s">
        <v>121</v>
      </c>
      <c r="D61" s="10" t="s">
        <v>464</v>
      </c>
      <c r="E61" s="10" t="s">
        <v>460</v>
      </c>
      <c r="F61" s="10" t="s">
        <v>122</v>
      </c>
      <c r="G61" s="16">
        <v>4</v>
      </c>
      <c r="H61" s="16">
        <v>6</v>
      </c>
      <c r="I61" s="16">
        <v>3</v>
      </c>
      <c r="J61" s="16">
        <v>6</v>
      </c>
      <c r="K61" s="16">
        <v>2</v>
      </c>
      <c r="L61" s="16">
        <v>6</v>
      </c>
      <c r="M61" s="16">
        <v>2</v>
      </c>
      <c r="N61" s="16"/>
      <c r="O61" s="16"/>
      <c r="P61" s="16"/>
      <c r="Q61" s="16"/>
      <c r="R61" s="10" t="s">
        <v>104</v>
      </c>
      <c r="S61" s="10" t="s">
        <v>464</v>
      </c>
      <c r="T61" s="10" t="s">
        <v>460</v>
      </c>
      <c r="U61" s="16">
        <v>1</v>
      </c>
      <c r="V61" s="15">
        <f>H61+J61+L61+N61+P61</f>
        <v>18</v>
      </c>
      <c r="W61" s="15">
        <f>H61+I61+J61+K61+L61+M61+N61+O61+P61+Q61</f>
        <v>25</v>
      </c>
      <c r="X61" s="26">
        <f>V61/W61</f>
        <v>0.72</v>
      </c>
      <c r="Y61" s="26">
        <f>H61/(H61+I61)</f>
        <v>0.66666666666666663</v>
      </c>
      <c r="Z61" s="26">
        <f>J61/(J61+K61)</f>
        <v>0.75</v>
      </c>
      <c r="AA61" s="26">
        <f>L62/(L62+M62)</f>
        <v>0.6</v>
      </c>
      <c r="AB61" s="26" t="e">
        <f>N61/(N61+O61)</f>
        <v>#DIV/0!</v>
      </c>
      <c r="AC61" s="26" t="e">
        <f>P61/(P61+Q61)</f>
        <v>#DIV/0!</v>
      </c>
      <c r="AD61" s="26">
        <f>V61/W61</f>
        <v>0.72</v>
      </c>
    </row>
    <row r="62" spans="1:30" x14ac:dyDescent="0.2">
      <c r="A62" s="14" t="s">
        <v>123</v>
      </c>
      <c r="B62" s="10" t="s">
        <v>438</v>
      </c>
      <c r="C62" s="10" t="s">
        <v>347</v>
      </c>
      <c r="D62" s="10" t="s">
        <v>467</v>
      </c>
      <c r="E62" s="18" t="s">
        <v>442</v>
      </c>
      <c r="F62" s="10" t="s">
        <v>348</v>
      </c>
      <c r="G62" s="16">
        <v>1</v>
      </c>
      <c r="H62" s="13">
        <v>6</v>
      </c>
      <c r="I62" s="13">
        <v>4</v>
      </c>
      <c r="J62" s="13">
        <v>3</v>
      </c>
      <c r="K62" s="13">
        <v>6</v>
      </c>
      <c r="L62" s="13">
        <v>6</v>
      </c>
      <c r="M62" s="13">
        <v>4</v>
      </c>
      <c r="N62" s="13"/>
      <c r="O62" s="13"/>
      <c r="P62" s="13"/>
      <c r="Q62" s="13"/>
      <c r="R62" s="10" t="s">
        <v>345</v>
      </c>
      <c r="S62" s="10" t="s">
        <v>467</v>
      </c>
      <c r="T62" s="10" t="s">
        <v>442</v>
      </c>
      <c r="U62" s="16">
        <v>2</v>
      </c>
      <c r="V62" s="15">
        <f>H62+J62+L62+N62+P62</f>
        <v>15</v>
      </c>
      <c r="W62" s="15">
        <f>H62+I62+J62+K62+L62+M62+N62+O62+P62+Q62</f>
        <v>29</v>
      </c>
      <c r="X62" s="26">
        <f>V62/W62</f>
        <v>0.51724137931034486</v>
      </c>
      <c r="Y62" s="26">
        <f>H62/(H62+I62)</f>
        <v>0.6</v>
      </c>
      <c r="Z62" s="26">
        <f>J62/(J62+K62)</f>
        <v>0.33333333333333331</v>
      </c>
      <c r="AA62" s="26">
        <f>L63/(L63+M63)</f>
        <v>0.4</v>
      </c>
      <c r="AB62" s="26" t="e">
        <f>N62/(N62+O62)</f>
        <v>#DIV/0!</v>
      </c>
      <c r="AC62" s="26" t="e">
        <f>P62/(P62+Q62)</f>
        <v>#DIV/0!</v>
      </c>
      <c r="AD62" s="26">
        <f>V62/W62</f>
        <v>0.51724137931034486</v>
      </c>
    </row>
    <row r="63" spans="1:30" x14ac:dyDescent="0.2">
      <c r="A63" s="9" t="s">
        <v>123</v>
      </c>
      <c r="B63" s="10" t="s">
        <v>305</v>
      </c>
      <c r="C63" s="11" t="s">
        <v>121</v>
      </c>
      <c r="D63" s="11" t="s">
        <v>464</v>
      </c>
      <c r="E63" s="11" t="s">
        <v>460</v>
      </c>
      <c r="F63" s="11" t="s">
        <v>125</v>
      </c>
      <c r="G63" s="13">
        <v>5</v>
      </c>
      <c r="H63" s="13">
        <v>6</v>
      </c>
      <c r="I63" s="13">
        <v>3</v>
      </c>
      <c r="J63" s="13">
        <v>6</v>
      </c>
      <c r="K63" s="13">
        <v>4</v>
      </c>
      <c r="L63" s="13">
        <v>4</v>
      </c>
      <c r="M63" s="13">
        <v>6</v>
      </c>
      <c r="N63" s="13">
        <v>6</v>
      </c>
      <c r="O63" s="13">
        <v>1</v>
      </c>
      <c r="P63" s="13"/>
      <c r="Q63" s="13"/>
      <c r="R63" s="11" t="s">
        <v>124</v>
      </c>
      <c r="S63" s="11" t="s">
        <v>464</v>
      </c>
      <c r="T63" s="11" t="s">
        <v>460</v>
      </c>
      <c r="U63" s="13" t="s">
        <v>563</v>
      </c>
      <c r="V63" s="15">
        <f>H63+J63+L63+N63+P63</f>
        <v>22</v>
      </c>
      <c r="W63" s="15">
        <f>H63+I63+J63+K63+L63+M63+N63+O63+P63+Q63</f>
        <v>36</v>
      </c>
      <c r="X63" s="26">
        <f>V63/W63</f>
        <v>0.61111111111111116</v>
      </c>
      <c r="Y63" s="26">
        <f>H63/(H63+I63)</f>
        <v>0.66666666666666663</v>
      </c>
      <c r="Z63" s="26">
        <f>J63/(J63+K63)</f>
        <v>0.6</v>
      </c>
      <c r="AA63" s="26" t="e">
        <f>L64/(L64+M64)</f>
        <v>#DIV/0!</v>
      </c>
      <c r="AB63" s="26">
        <f>N63/(N63+O63)</f>
        <v>0.8571428571428571</v>
      </c>
      <c r="AC63" s="26" t="e">
        <f>P63/(P63+Q63)</f>
        <v>#DIV/0!</v>
      </c>
      <c r="AD63" s="26">
        <f>V63/W63</f>
        <v>0.61111111111111116</v>
      </c>
    </row>
    <row r="64" spans="1:30" x14ac:dyDescent="0.2">
      <c r="A64" s="9" t="s">
        <v>126</v>
      </c>
      <c r="B64" s="10" t="s">
        <v>438</v>
      </c>
      <c r="C64" s="11" t="s">
        <v>331</v>
      </c>
      <c r="D64" s="11" t="s">
        <v>464</v>
      </c>
      <c r="E64" s="11" t="s">
        <v>460</v>
      </c>
      <c r="F64" s="11" t="s">
        <v>309</v>
      </c>
      <c r="G64" s="13">
        <v>1</v>
      </c>
      <c r="H64" s="16">
        <v>6</v>
      </c>
      <c r="I64" s="16">
        <v>1</v>
      </c>
      <c r="J64" s="16">
        <v>7</v>
      </c>
      <c r="K64" s="16">
        <v>5</v>
      </c>
      <c r="L64" s="16"/>
      <c r="M64" s="16"/>
      <c r="N64" s="16"/>
      <c r="O64" s="16"/>
      <c r="P64" s="16"/>
      <c r="Q64" s="16"/>
      <c r="R64" s="11" t="s">
        <v>340</v>
      </c>
      <c r="S64" s="11" t="s">
        <v>464</v>
      </c>
      <c r="T64" s="11" t="s">
        <v>460</v>
      </c>
      <c r="U64" s="13">
        <v>3</v>
      </c>
      <c r="V64" s="15">
        <f>H64+J64+L64+N64+P64</f>
        <v>13</v>
      </c>
      <c r="W64" s="15">
        <f>H64+I64+J64+K64+L64+M64+N64+O64+P64+Q64</f>
        <v>19</v>
      </c>
      <c r="X64" s="26">
        <f>V64/W64</f>
        <v>0.68421052631578949</v>
      </c>
      <c r="Y64" s="26">
        <f>H64/(H64+I64)</f>
        <v>0.8571428571428571</v>
      </c>
      <c r="Z64" s="26">
        <f>J64/(J64+K64)</f>
        <v>0.58333333333333337</v>
      </c>
      <c r="AA64" s="26">
        <f>L65/(L65+M65)</f>
        <v>0.66666666666666663</v>
      </c>
      <c r="AB64" s="26" t="e">
        <f>N64/(N64+O64)</f>
        <v>#DIV/0!</v>
      </c>
      <c r="AC64" s="26" t="e">
        <f>P64/(P64+Q64)</f>
        <v>#DIV/0!</v>
      </c>
      <c r="AD64" s="26">
        <f>V64/W64</f>
        <v>0.68421052631578949</v>
      </c>
    </row>
    <row r="65" spans="1:30" x14ac:dyDescent="0.2">
      <c r="A65" s="14" t="s">
        <v>126</v>
      </c>
      <c r="B65" s="10" t="s">
        <v>305</v>
      </c>
      <c r="C65" s="10" t="s">
        <v>127</v>
      </c>
      <c r="D65" s="10" t="s">
        <v>467</v>
      </c>
      <c r="E65" s="18" t="s">
        <v>442</v>
      </c>
      <c r="F65" s="10" t="s">
        <v>128</v>
      </c>
      <c r="G65" s="16">
        <v>4</v>
      </c>
      <c r="H65" s="16">
        <v>6</v>
      </c>
      <c r="I65" s="16">
        <v>3</v>
      </c>
      <c r="J65" s="16">
        <v>2</v>
      </c>
      <c r="K65" s="16">
        <v>6</v>
      </c>
      <c r="L65" s="16">
        <v>6</v>
      </c>
      <c r="M65" s="16">
        <v>3</v>
      </c>
      <c r="N65" s="16">
        <v>6</v>
      </c>
      <c r="O65" s="16">
        <v>1</v>
      </c>
      <c r="P65" s="16"/>
      <c r="Q65" s="16"/>
      <c r="R65" s="10" t="s">
        <v>124</v>
      </c>
      <c r="S65" s="10" t="s">
        <v>464</v>
      </c>
      <c r="T65" s="10" t="s">
        <v>460</v>
      </c>
      <c r="U65" s="16">
        <v>3</v>
      </c>
      <c r="V65" s="15">
        <f>H65+J65+L65+N65+P65</f>
        <v>20</v>
      </c>
      <c r="W65" s="15">
        <f>H65+I65+J65+K65+L65+M65+N65+O65+P65+Q65</f>
        <v>33</v>
      </c>
      <c r="X65" s="26">
        <f>V65/W65</f>
        <v>0.60606060606060608</v>
      </c>
      <c r="Y65" s="26">
        <f>H65/(H65+I65)</f>
        <v>0.66666666666666663</v>
      </c>
      <c r="Z65" s="26">
        <f>J65/(J65+K65)</f>
        <v>0.25</v>
      </c>
      <c r="AA65" s="26" t="e">
        <f>L66/(L66+M66)</f>
        <v>#DIV/0!</v>
      </c>
      <c r="AB65" s="26">
        <f>N65/(N65+O65)</f>
        <v>0.8571428571428571</v>
      </c>
      <c r="AC65" s="26" t="e">
        <f>P65/(P65+Q65)</f>
        <v>#DIV/0!</v>
      </c>
      <c r="AD65" s="26">
        <f>V65/W65</f>
        <v>0.60606060606060608</v>
      </c>
    </row>
    <row r="66" spans="1:30" x14ac:dyDescent="0.2">
      <c r="A66" s="14" t="s">
        <v>129</v>
      </c>
      <c r="B66" s="10" t="s">
        <v>438</v>
      </c>
      <c r="C66" s="10" t="s">
        <v>340</v>
      </c>
      <c r="D66" s="10" t="s">
        <v>464</v>
      </c>
      <c r="E66" s="10" t="s">
        <v>460</v>
      </c>
      <c r="F66" s="10" t="s">
        <v>350</v>
      </c>
      <c r="G66" s="16">
        <v>2</v>
      </c>
      <c r="H66" s="13">
        <v>6</v>
      </c>
      <c r="I66" s="13">
        <v>2</v>
      </c>
      <c r="J66" s="13">
        <v>6</v>
      </c>
      <c r="K66" s="13">
        <v>3</v>
      </c>
      <c r="L66" s="13"/>
      <c r="M66" s="13"/>
      <c r="N66" s="13"/>
      <c r="O66" s="13"/>
      <c r="P66" s="13"/>
      <c r="Q66" s="13"/>
      <c r="R66" s="10" t="s">
        <v>349</v>
      </c>
      <c r="S66" s="10" t="s">
        <v>464</v>
      </c>
      <c r="T66" s="10" t="s">
        <v>460</v>
      </c>
      <c r="U66" s="16">
        <v>8</v>
      </c>
      <c r="V66" s="15">
        <f>H66+J66+L66+N66+P66</f>
        <v>12</v>
      </c>
      <c r="W66" s="15">
        <f>H66+I66+J66+K66+L66+M66+N66+O66+P66+Q66</f>
        <v>17</v>
      </c>
      <c r="X66" s="26">
        <f>V66/W66</f>
        <v>0.70588235294117652</v>
      </c>
      <c r="Y66" s="26">
        <f>H66/(H66+I66)</f>
        <v>0.75</v>
      </c>
      <c r="Z66" s="26">
        <f>J66/(J66+K66)</f>
        <v>0.66666666666666663</v>
      </c>
      <c r="AA66" s="26">
        <f>L67/(L67+M67)</f>
        <v>0.25</v>
      </c>
      <c r="AB66" s="26" t="e">
        <f>N66/(N66+O66)</f>
        <v>#DIV/0!</v>
      </c>
      <c r="AC66" s="26" t="e">
        <f>P66/(P66+Q66)</f>
        <v>#DIV/0!</v>
      </c>
      <c r="AD66" s="26">
        <f>V66/W66</f>
        <v>0.70588235294117652</v>
      </c>
    </row>
    <row r="67" spans="1:30" x14ac:dyDescent="0.2">
      <c r="A67" s="9" t="s">
        <v>129</v>
      </c>
      <c r="B67" s="10" t="s">
        <v>305</v>
      </c>
      <c r="C67" s="11" t="s">
        <v>124</v>
      </c>
      <c r="D67" s="11" t="s">
        <v>464</v>
      </c>
      <c r="E67" s="11" t="s">
        <v>460</v>
      </c>
      <c r="F67" s="11" t="s">
        <v>130</v>
      </c>
      <c r="G67" s="13">
        <v>4</v>
      </c>
      <c r="H67" s="13">
        <v>7</v>
      </c>
      <c r="I67" s="13">
        <v>5</v>
      </c>
      <c r="J67" s="13">
        <v>12</v>
      </c>
      <c r="K67" s="13">
        <v>10</v>
      </c>
      <c r="L67" s="13">
        <v>2</v>
      </c>
      <c r="M67" s="13">
        <v>6</v>
      </c>
      <c r="N67" s="13">
        <v>6</v>
      </c>
      <c r="O67" s="13">
        <v>2</v>
      </c>
      <c r="P67" s="13"/>
      <c r="Q67" s="13"/>
      <c r="R67" s="11" t="s">
        <v>121</v>
      </c>
      <c r="S67" s="11" t="s">
        <v>464</v>
      </c>
      <c r="T67" s="11" t="s">
        <v>460</v>
      </c>
      <c r="U67" s="13">
        <v>1</v>
      </c>
      <c r="V67" s="15">
        <f>H67+J67+L67+N67+P67</f>
        <v>27</v>
      </c>
      <c r="W67" s="15">
        <f>H67+I67+J67+K67+L67+M67+N67+O67+P67+Q67</f>
        <v>50</v>
      </c>
      <c r="X67" s="26">
        <f>V67/W67</f>
        <v>0.54</v>
      </c>
      <c r="Y67" s="26">
        <f>H67/(H67+I67)</f>
        <v>0.58333333333333337</v>
      </c>
      <c r="Z67" s="26">
        <f>J67/(J67+K67)</f>
        <v>0.54545454545454541</v>
      </c>
      <c r="AA67" s="26" t="e">
        <f>L68/(L68+M68)</f>
        <v>#DIV/0!</v>
      </c>
      <c r="AB67" s="26">
        <f>N67/(N67+O67)</f>
        <v>0.75</v>
      </c>
      <c r="AC67" s="26" t="e">
        <f>P67/(P67+Q67)</f>
        <v>#DIV/0!</v>
      </c>
      <c r="AD67" s="26">
        <f>V67/W67</f>
        <v>0.54</v>
      </c>
    </row>
    <row r="68" spans="1:30" x14ac:dyDescent="0.2">
      <c r="A68" s="9" t="s">
        <v>131</v>
      </c>
      <c r="B68" s="10" t="s">
        <v>438</v>
      </c>
      <c r="C68" s="11" t="s">
        <v>351</v>
      </c>
      <c r="D68" s="11" t="s">
        <v>467</v>
      </c>
      <c r="E68" s="11" t="s">
        <v>442</v>
      </c>
      <c r="F68" s="11" t="s">
        <v>337</v>
      </c>
      <c r="G68" s="13">
        <v>1</v>
      </c>
      <c r="H68" s="16">
        <v>6</v>
      </c>
      <c r="I68" s="16">
        <v>3</v>
      </c>
      <c r="J68" s="16">
        <v>6</v>
      </c>
      <c r="K68" s="16">
        <v>2</v>
      </c>
      <c r="L68" s="16"/>
      <c r="M68" s="16"/>
      <c r="N68" s="16"/>
      <c r="O68" s="16"/>
      <c r="P68" s="16"/>
      <c r="Q68" s="16"/>
      <c r="R68" s="11" t="s">
        <v>352</v>
      </c>
      <c r="S68" s="11" t="s">
        <v>467</v>
      </c>
      <c r="T68" s="11" t="s">
        <v>442</v>
      </c>
      <c r="U68" s="13">
        <v>2</v>
      </c>
      <c r="V68" s="15">
        <f>H68+J68+L68+N68+P68</f>
        <v>12</v>
      </c>
      <c r="W68" s="15">
        <f>H68+I68+J68+K68+L68+M68+N68+O68+P68+Q68</f>
        <v>17</v>
      </c>
      <c r="X68" s="26">
        <f>V68/W68</f>
        <v>0.70588235294117652</v>
      </c>
      <c r="Y68" s="26">
        <f>H68/(H68+I68)</f>
        <v>0.66666666666666663</v>
      </c>
      <c r="Z68" s="26">
        <f>J68/(J68+K68)</f>
        <v>0.75</v>
      </c>
      <c r="AA68" s="26">
        <f>L69/(L69+M69)</f>
        <v>0.6</v>
      </c>
      <c r="AB68" s="26" t="e">
        <f>N68/(N68+O68)</f>
        <v>#DIV/0!</v>
      </c>
      <c r="AC68" s="26" t="e">
        <f>P68/(P68+Q68)</f>
        <v>#DIV/0!</v>
      </c>
      <c r="AD68" s="26">
        <f>V68/W68</f>
        <v>0.70588235294117652</v>
      </c>
    </row>
    <row r="69" spans="1:30" x14ac:dyDescent="0.2">
      <c r="A69" s="14" t="s">
        <v>131</v>
      </c>
      <c r="B69" s="10" t="s">
        <v>305</v>
      </c>
      <c r="C69" s="10" t="s">
        <v>132</v>
      </c>
      <c r="D69" s="10" t="s">
        <v>464</v>
      </c>
      <c r="E69" s="10" t="s">
        <v>460</v>
      </c>
      <c r="F69" s="10" t="s">
        <v>134</v>
      </c>
      <c r="G69" s="16">
        <v>3</v>
      </c>
      <c r="H69" s="16">
        <v>6</v>
      </c>
      <c r="I69" s="16">
        <v>0</v>
      </c>
      <c r="J69" s="16">
        <v>6</v>
      </c>
      <c r="K69" s="16">
        <v>3</v>
      </c>
      <c r="L69" s="16">
        <v>6</v>
      </c>
      <c r="M69" s="16">
        <v>4</v>
      </c>
      <c r="N69" s="16"/>
      <c r="O69" s="16"/>
      <c r="P69" s="16"/>
      <c r="Q69" s="16"/>
      <c r="R69" s="10" t="s">
        <v>133</v>
      </c>
      <c r="S69" s="10" t="s">
        <v>464</v>
      </c>
      <c r="T69" s="10" t="s">
        <v>460</v>
      </c>
      <c r="U69" s="16">
        <v>1</v>
      </c>
      <c r="V69" s="15">
        <f>H69+J69+L69+N69+P69</f>
        <v>18</v>
      </c>
      <c r="W69" s="15">
        <f>H69+I69+J69+K69+L69+M69+N69+O69+P69+Q69</f>
        <v>25</v>
      </c>
      <c r="X69" s="26">
        <f>V69/W69</f>
        <v>0.72</v>
      </c>
      <c r="Y69" s="26">
        <f>H69/(H69+I69)</f>
        <v>1</v>
      </c>
      <c r="Z69" s="26">
        <f>J69/(J69+K69)</f>
        <v>0.66666666666666663</v>
      </c>
      <c r="AA69" s="26" t="e">
        <f>L70/(L70+M70)</f>
        <v>#DIV/0!</v>
      </c>
      <c r="AB69" s="26" t="e">
        <f>N69/(N69+O69)</f>
        <v>#DIV/0!</v>
      </c>
      <c r="AC69" s="26" t="e">
        <f>P69/(P69+Q69)</f>
        <v>#DIV/0!</v>
      </c>
      <c r="AD69" s="26">
        <f>V69/W69</f>
        <v>0.72</v>
      </c>
    </row>
    <row r="70" spans="1:30" x14ac:dyDescent="0.2">
      <c r="A70" s="14" t="s">
        <v>135</v>
      </c>
      <c r="B70" s="10" t="s">
        <v>438</v>
      </c>
      <c r="C70" s="10" t="s">
        <v>340</v>
      </c>
      <c r="D70" s="10" t="s">
        <v>464</v>
      </c>
      <c r="E70" s="10" t="s">
        <v>460</v>
      </c>
      <c r="F70" s="10" t="s">
        <v>346</v>
      </c>
      <c r="G70" s="16">
        <v>1</v>
      </c>
      <c r="H70" s="13">
        <v>6</v>
      </c>
      <c r="I70" s="13">
        <v>3</v>
      </c>
      <c r="J70" s="13">
        <v>6</v>
      </c>
      <c r="K70" s="13">
        <v>4</v>
      </c>
      <c r="L70" s="13"/>
      <c r="M70" s="13"/>
      <c r="N70" s="13"/>
      <c r="O70" s="13"/>
      <c r="P70" s="13"/>
      <c r="Q70" s="13"/>
      <c r="R70" s="10" t="s">
        <v>353</v>
      </c>
      <c r="S70" s="10" t="s">
        <v>464</v>
      </c>
      <c r="T70" s="10" t="s">
        <v>460</v>
      </c>
      <c r="U70" s="16">
        <v>3</v>
      </c>
      <c r="V70" s="15">
        <f>H70+J70+L70+N70+P70</f>
        <v>12</v>
      </c>
      <c r="W70" s="15">
        <f>H70+I70+J70+K70+L70+M70+N70+O70+P70+Q70</f>
        <v>19</v>
      </c>
      <c r="X70" s="26">
        <f>V70/W70</f>
        <v>0.63157894736842102</v>
      </c>
      <c r="Y70" s="26">
        <f>H70/(H70+I70)</f>
        <v>0.66666666666666663</v>
      </c>
      <c r="Z70" s="26">
        <f>J70/(J70+K70)</f>
        <v>0.6</v>
      </c>
      <c r="AA70" s="26">
        <f>L71/(L71+M71)</f>
        <v>0.6</v>
      </c>
      <c r="AB70" s="26" t="e">
        <f>N70/(N70+O70)</f>
        <v>#DIV/0!</v>
      </c>
      <c r="AC70" s="26" t="e">
        <f>P70/(P70+Q70)</f>
        <v>#DIV/0!</v>
      </c>
      <c r="AD70" s="26">
        <f>V70/W70</f>
        <v>0.63157894736842102</v>
      </c>
    </row>
    <row r="71" spans="1:30" x14ac:dyDescent="0.2">
      <c r="A71" s="9" t="s">
        <v>135</v>
      </c>
      <c r="B71" s="10" t="s">
        <v>305</v>
      </c>
      <c r="C71" s="11" t="s">
        <v>133</v>
      </c>
      <c r="D71" s="11" t="s">
        <v>464</v>
      </c>
      <c r="E71" s="11" t="s">
        <v>460</v>
      </c>
      <c r="F71" s="11" t="s">
        <v>137</v>
      </c>
      <c r="G71" s="13">
        <v>5</v>
      </c>
      <c r="H71" s="13">
        <v>6</v>
      </c>
      <c r="I71" s="13">
        <v>2</v>
      </c>
      <c r="J71" s="13">
        <v>0</v>
      </c>
      <c r="K71" s="13">
        <v>6</v>
      </c>
      <c r="L71" s="13">
        <v>6</v>
      </c>
      <c r="M71" s="13">
        <v>4</v>
      </c>
      <c r="N71" s="13">
        <v>6</v>
      </c>
      <c r="O71" s="13">
        <v>2</v>
      </c>
      <c r="P71" s="13"/>
      <c r="Q71" s="13"/>
      <c r="R71" s="11" t="s">
        <v>136</v>
      </c>
      <c r="S71" s="11" t="s">
        <v>464</v>
      </c>
      <c r="T71" s="11" t="s">
        <v>460</v>
      </c>
      <c r="U71" s="13">
        <v>3</v>
      </c>
      <c r="V71" s="15">
        <f>H71+J71+L71+N71+P71</f>
        <v>18</v>
      </c>
      <c r="W71" s="15">
        <f>H71+I71+J71+K71+L71+M71+N71+O71+P71+Q71</f>
        <v>32</v>
      </c>
      <c r="X71" s="26">
        <f>V71/W71</f>
        <v>0.5625</v>
      </c>
      <c r="Y71" s="26">
        <f>H71/(H71+I71)</f>
        <v>0.75</v>
      </c>
      <c r="Z71" s="26">
        <f>J71/(J71+K71)</f>
        <v>0</v>
      </c>
      <c r="AA71" s="26" t="e">
        <f>L72/(L72+M72)</f>
        <v>#DIV/0!</v>
      </c>
      <c r="AB71" s="26">
        <f>N71/(N71+O71)</f>
        <v>0.75</v>
      </c>
      <c r="AC71" s="26" t="e">
        <f>P71/(P71+Q71)</f>
        <v>#DIV/0!</v>
      </c>
      <c r="AD71" s="26">
        <f>V71/W71</f>
        <v>0.5625</v>
      </c>
    </row>
    <row r="72" spans="1:30" x14ac:dyDescent="0.2">
      <c r="A72" s="9" t="s">
        <v>138</v>
      </c>
      <c r="B72" s="10" t="s">
        <v>438</v>
      </c>
      <c r="C72" s="11" t="s">
        <v>354</v>
      </c>
      <c r="D72" s="11" t="s">
        <v>464</v>
      </c>
      <c r="E72" s="11" t="s">
        <v>460</v>
      </c>
      <c r="F72" s="11" t="s">
        <v>326</v>
      </c>
      <c r="G72" s="13">
        <v>2</v>
      </c>
      <c r="H72" s="16">
        <v>6</v>
      </c>
      <c r="I72" s="16">
        <v>4</v>
      </c>
      <c r="J72" s="16">
        <v>6</v>
      </c>
      <c r="K72" s="16">
        <v>3</v>
      </c>
      <c r="L72" s="16"/>
      <c r="M72" s="16"/>
      <c r="N72" s="16"/>
      <c r="O72" s="16"/>
      <c r="P72" s="16"/>
      <c r="Q72" s="16"/>
      <c r="R72" s="11" t="s">
        <v>340</v>
      </c>
      <c r="S72" s="11" t="s">
        <v>464</v>
      </c>
      <c r="T72" s="11" t="s">
        <v>460</v>
      </c>
      <c r="U72" s="13">
        <v>1</v>
      </c>
      <c r="V72" s="15">
        <f>H72+J72+L72+N72+P72</f>
        <v>12</v>
      </c>
      <c r="W72" s="15">
        <f>H72+I72+J72+K72+L72+M72+N72+O72+P72+Q72</f>
        <v>19</v>
      </c>
      <c r="X72" s="26">
        <f>V72/W72</f>
        <v>0.63157894736842102</v>
      </c>
      <c r="Y72" s="26">
        <f>H72/(H72+I72)</f>
        <v>0.6</v>
      </c>
      <c r="Z72" s="26">
        <f>J72/(J72+K72)</f>
        <v>0.66666666666666663</v>
      </c>
      <c r="AA72" s="26">
        <f>L73/(L73+M73)</f>
        <v>0.6</v>
      </c>
      <c r="AB72" s="26" t="e">
        <f>N72/(N72+O72)</f>
        <v>#DIV/0!</v>
      </c>
      <c r="AC72" s="26" t="e">
        <f>P72/(P72+Q72)</f>
        <v>#DIV/0!</v>
      </c>
      <c r="AD72" s="26">
        <f>V72/W72</f>
        <v>0.63157894736842102</v>
      </c>
    </row>
    <row r="73" spans="1:30" x14ac:dyDescent="0.2">
      <c r="A73" s="14" t="s">
        <v>138</v>
      </c>
      <c r="B73" s="10" t="s">
        <v>305</v>
      </c>
      <c r="C73" s="10" t="s">
        <v>132</v>
      </c>
      <c r="D73" s="10" t="s">
        <v>464</v>
      </c>
      <c r="E73" s="10" t="s">
        <v>460</v>
      </c>
      <c r="F73" s="10" t="s">
        <v>140</v>
      </c>
      <c r="G73" s="16">
        <v>1</v>
      </c>
      <c r="H73" s="16">
        <v>9</v>
      </c>
      <c r="I73" s="16">
        <v>7</v>
      </c>
      <c r="J73" s="16">
        <v>6</v>
      </c>
      <c r="K73" s="16">
        <v>4</v>
      </c>
      <c r="L73" s="16">
        <v>6</v>
      </c>
      <c r="M73" s="16">
        <v>4</v>
      </c>
      <c r="N73" s="16"/>
      <c r="O73" s="16"/>
      <c r="P73" s="16"/>
      <c r="Q73" s="16"/>
      <c r="R73" s="10" t="s">
        <v>139</v>
      </c>
      <c r="S73" s="10" t="s">
        <v>464</v>
      </c>
      <c r="T73" s="10" t="s">
        <v>460</v>
      </c>
      <c r="U73" s="16">
        <v>5</v>
      </c>
      <c r="V73" s="15">
        <f>H73+J73+L73+N73+P73</f>
        <v>21</v>
      </c>
      <c r="W73" s="15">
        <f>H73+I73+J73+K73+L73+M73+N73+O73+P73+Q73</f>
        <v>36</v>
      </c>
      <c r="X73" s="26">
        <f>V73/W73</f>
        <v>0.58333333333333337</v>
      </c>
      <c r="Y73" s="26">
        <f>H73/(H73+I73)</f>
        <v>0.5625</v>
      </c>
      <c r="Z73" s="26">
        <f>J73/(J73+K73)</f>
        <v>0.6</v>
      </c>
      <c r="AA73" s="26">
        <f>L74/(L74+M74)</f>
        <v>0.5625</v>
      </c>
      <c r="AB73" s="26" t="e">
        <f>N73/(N73+O73)</f>
        <v>#DIV/0!</v>
      </c>
      <c r="AC73" s="26" t="e">
        <f>P73/(P73+Q73)</f>
        <v>#DIV/0!</v>
      </c>
      <c r="AD73" s="26">
        <f>V73/W73</f>
        <v>0.58333333333333337</v>
      </c>
    </row>
    <row r="74" spans="1:30" x14ac:dyDescent="0.2">
      <c r="A74" s="14" t="s">
        <v>141</v>
      </c>
      <c r="B74" s="10" t="s">
        <v>438</v>
      </c>
      <c r="C74" s="10" t="s">
        <v>355</v>
      </c>
      <c r="D74" s="10" t="s">
        <v>464</v>
      </c>
      <c r="E74" s="10" t="s">
        <v>460</v>
      </c>
      <c r="F74" s="10" t="s">
        <v>356</v>
      </c>
      <c r="G74" s="16">
        <v>2</v>
      </c>
      <c r="H74" s="13">
        <v>3</v>
      </c>
      <c r="I74" s="13">
        <v>6</v>
      </c>
      <c r="J74" s="13">
        <v>6</v>
      </c>
      <c r="K74" s="13">
        <v>2</v>
      </c>
      <c r="L74" s="13">
        <v>9</v>
      </c>
      <c r="M74" s="13">
        <v>7</v>
      </c>
      <c r="N74" s="13"/>
      <c r="O74" s="13"/>
      <c r="P74" s="13"/>
      <c r="Q74" s="13"/>
      <c r="R74" s="10" t="s">
        <v>340</v>
      </c>
      <c r="S74" s="10" t="s">
        <v>464</v>
      </c>
      <c r="T74" s="10" t="s">
        <v>460</v>
      </c>
      <c r="U74" s="16">
        <v>5</v>
      </c>
      <c r="V74" s="15">
        <f>H74+J74+L74+N74+P74</f>
        <v>18</v>
      </c>
      <c r="W74" s="15">
        <f>H74+I74+J74+K74+L74+M74+N74+O74+P74+Q74</f>
        <v>33</v>
      </c>
      <c r="X74" s="26">
        <f>V74/W74</f>
        <v>0.54545454545454541</v>
      </c>
      <c r="Y74" s="26">
        <f>H74/(H74+I74)</f>
        <v>0.33333333333333331</v>
      </c>
      <c r="Z74" s="26">
        <f>J74/(J74+K74)</f>
        <v>0.75</v>
      </c>
      <c r="AA74" s="26">
        <f>L75/(L75+M75)</f>
        <v>0.6</v>
      </c>
      <c r="AB74" s="26" t="e">
        <f>N74/(N74+O74)</f>
        <v>#DIV/0!</v>
      </c>
      <c r="AC74" s="26" t="e">
        <f>P74/(P74+Q74)</f>
        <v>#DIV/0!</v>
      </c>
      <c r="AD74" s="26">
        <f>V74/W74</f>
        <v>0.54545454545454541</v>
      </c>
    </row>
    <row r="75" spans="1:30" x14ac:dyDescent="0.2">
      <c r="A75" s="9" t="s">
        <v>141</v>
      </c>
      <c r="B75" s="10" t="s">
        <v>305</v>
      </c>
      <c r="C75" s="11" t="s">
        <v>139</v>
      </c>
      <c r="D75" s="11" t="s">
        <v>464</v>
      </c>
      <c r="E75" s="11" t="s">
        <v>460</v>
      </c>
      <c r="F75" s="11" t="s">
        <v>142</v>
      </c>
      <c r="G75" s="13">
        <v>1</v>
      </c>
      <c r="H75" s="13">
        <v>6</v>
      </c>
      <c r="I75" s="13">
        <v>4</v>
      </c>
      <c r="J75" s="13">
        <v>3</v>
      </c>
      <c r="K75" s="13">
        <v>6</v>
      </c>
      <c r="L75" s="13">
        <v>6</v>
      </c>
      <c r="M75" s="13">
        <v>4</v>
      </c>
      <c r="N75" s="13">
        <v>7</v>
      </c>
      <c r="O75" s="13">
        <v>5</v>
      </c>
      <c r="P75" s="13"/>
      <c r="Q75" s="13"/>
      <c r="R75" s="11" t="s">
        <v>132</v>
      </c>
      <c r="S75" s="11" t="s">
        <v>464</v>
      </c>
      <c r="T75" s="11" t="s">
        <v>460</v>
      </c>
      <c r="U75" s="13">
        <v>2</v>
      </c>
      <c r="V75" s="15">
        <f>H75+J75+L75+N75+P75</f>
        <v>22</v>
      </c>
      <c r="W75" s="15">
        <f>H75+I75+J75+K75+L75+M75+N75+O75+P75+Q75</f>
        <v>41</v>
      </c>
      <c r="X75" s="26">
        <f>V75/W75</f>
        <v>0.53658536585365857</v>
      </c>
      <c r="Y75" s="26">
        <f>H75/(H75+I75)</f>
        <v>0.6</v>
      </c>
      <c r="Z75" s="26">
        <f>J75/(J75+K75)</f>
        <v>0.33333333333333331</v>
      </c>
      <c r="AA75" s="26" t="e">
        <f>L76/(L76+M76)</f>
        <v>#DIV/0!</v>
      </c>
      <c r="AB75" s="26">
        <f>N75/(N75+O75)</f>
        <v>0.58333333333333337</v>
      </c>
      <c r="AC75" s="26" t="e">
        <f>P75/(P75+Q75)</f>
        <v>#DIV/0!</v>
      </c>
      <c r="AD75" s="26">
        <f>V75/W75</f>
        <v>0.53658536585365857</v>
      </c>
    </row>
    <row r="76" spans="1:30" x14ac:dyDescent="0.2">
      <c r="A76" s="9" t="s">
        <v>143</v>
      </c>
      <c r="B76" s="10" t="s">
        <v>438</v>
      </c>
      <c r="C76" s="11" t="s">
        <v>357</v>
      </c>
      <c r="D76" s="11" t="s">
        <v>467</v>
      </c>
      <c r="E76" s="11" t="s">
        <v>442</v>
      </c>
      <c r="F76" s="11" t="s">
        <v>346</v>
      </c>
      <c r="G76" s="13">
        <v>1</v>
      </c>
      <c r="H76" s="16">
        <v>6</v>
      </c>
      <c r="I76" s="16">
        <v>3</v>
      </c>
      <c r="J76" s="16">
        <v>6</v>
      </c>
      <c r="K76" s="16">
        <v>4</v>
      </c>
      <c r="L76" s="16"/>
      <c r="M76" s="16"/>
      <c r="N76" s="16"/>
      <c r="O76" s="16"/>
      <c r="P76" s="16"/>
      <c r="Q76" s="16"/>
      <c r="R76" s="11" t="s">
        <v>358</v>
      </c>
      <c r="S76" s="11" t="s">
        <v>467</v>
      </c>
      <c r="T76" s="11" t="s">
        <v>442</v>
      </c>
      <c r="U76" s="13">
        <v>2</v>
      </c>
      <c r="V76" s="15">
        <f>H76+J76+L76+N76+P76</f>
        <v>12</v>
      </c>
      <c r="W76" s="15">
        <f>H76+I76+J76+K76+L76+M76+N76+O76+P76+Q76</f>
        <v>19</v>
      </c>
      <c r="X76" s="26">
        <f>V76/W76</f>
        <v>0.63157894736842102</v>
      </c>
      <c r="Y76" s="26">
        <f>H76/(H76+I76)</f>
        <v>0.66666666666666663</v>
      </c>
      <c r="Z76" s="26">
        <f>J76/(J76+K76)</f>
        <v>0.6</v>
      </c>
      <c r="AA76" s="26">
        <f>L77/(L77+M77)</f>
        <v>0.6</v>
      </c>
      <c r="AB76" s="26" t="e">
        <f>N76/(N76+O76)</f>
        <v>#DIV/0!</v>
      </c>
      <c r="AC76" s="26" t="e">
        <f>P76/(P76+Q76)</f>
        <v>#DIV/0!</v>
      </c>
      <c r="AD76" s="26">
        <f>V76/W76</f>
        <v>0.63157894736842102</v>
      </c>
    </row>
    <row r="77" spans="1:30" x14ac:dyDescent="0.2">
      <c r="A77" s="14" t="s">
        <v>143</v>
      </c>
      <c r="B77" s="10" t="s">
        <v>305</v>
      </c>
      <c r="C77" s="10" t="s">
        <v>144</v>
      </c>
      <c r="D77" s="10" t="s">
        <v>464</v>
      </c>
      <c r="E77" s="10" t="s">
        <v>460</v>
      </c>
      <c r="F77" s="10" t="s">
        <v>146</v>
      </c>
      <c r="G77" s="16">
        <v>2</v>
      </c>
      <c r="H77" s="16">
        <v>6</v>
      </c>
      <c r="I77" s="16">
        <v>3</v>
      </c>
      <c r="J77" s="16">
        <v>9</v>
      </c>
      <c r="K77" s="16">
        <v>11</v>
      </c>
      <c r="L77" s="16">
        <v>6</v>
      </c>
      <c r="M77" s="16">
        <v>4</v>
      </c>
      <c r="N77" s="16">
        <v>6</v>
      </c>
      <c r="O77" s="16">
        <v>2</v>
      </c>
      <c r="P77" s="16"/>
      <c r="Q77" s="16"/>
      <c r="R77" s="10" t="s">
        <v>145</v>
      </c>
      <c r="S77" s="10" t="s">
        <v>464</v>
      </c>
      <c r="T77" s="10" t="s">
        <v>460</v>
      </c>
      <c r="U77" s="16">
        <v>3</v>
      </c>
      <c r="V77" s="15">
        <f>H77+J77+L77+N77+P77</f>
        <v>27</v>
      </c>
      <c r="W77" s="15">
        <f>H77+I77+J77+K77+L77+M77+N77+O77+P77+Q77</f>
        <v>47</v>
      </c>
      <c r="X77" s="26">
        <f>V77/W77</f>
        <v>0.57446808510638303</v>
      </c>
      <c r="Y77" s="26">
        <f>H77/(H77+I77)</f>
        <v>0.66666666666666663</v>
      </c>
      <c r="Z77" s="26">
        <f>J77/(J77+K77)</f>
        <v>0.45</v>
      </c>
      <c r="AA77" s="26" t="e">
        <f>L78/(L78+M78)</f>
        <v>#DIV/0!</v>
      </c>
      <c r="AB77" s="26">
        <f>N77/(N77+O77)</f>
        <v>0.75</v>
      </c>
      <c r="AC77" s="26" t="e">
        <f>P77/(P77+Q77)</f>
        <v>#DIV/0!</v>
      </c>
      <c r="AD77" s="26">
        <f>V77/W77</f>
        <v>0.57446808510638303</v>
      </c>
    </row>
    <row r="78" spans="1:30" x14ac:dyDescent="0.2">
      <c r="A78" s="14" t="s">
        <v>147</v>
      </c>
      <c r="B78" s="10" t="s">
        <v>438</v>
      </c>
      <c r="C78" s="10" t="s">
        <v>359</v>
      </c>
      <c r="D78" s="10" t="s">
        <v>457</v>
      </c>
      <c r="E78" s="10" t="s">
        <v>450</v>
      </c>
      <c r="F78" s="10" t="s">
        <v>346</v>
      </c>
      <c r="G78" s="16">
        <v>1</v>
      </c>
      <c r="H78" s="13">
        <v>6</v>
      </c>
      <c r="I78" s="13">
        <v>3</v>
      </c>
      <c r="J78" s="13">
        <v>6</v>
      </c>
      <c r="K78" s="13">
        <v>4</v>
      </c>
      <c r="L78" s="13"/>
      <c r="M78" s="13"/>
      <c r="N78" s="13"/>
      <c r="O78" s="13"/>
      <c r="P78" s="13"/>
      <c r="Q78" s="13"/>
      <c r="R78" s="10" t="s">
        <v>360</v>
      </c>
      <c r="S78" s="10" t="s">
        <v>464</v>
      </c>
      <c r="T78" s="10" t="s">
        <v>460</v>
      </c>
      <c r="U78" s="16">
        <v>2</v>
      </c>
      <c r="V78" s="15">
        <f>H78+J78+L78+N78+P78</f>
        <v>12</v>
      </c>
      <c r="W78" s="15">
        <f>H78+I78+J78+K78+L78+M78+N78+O78+P78+Q78</f>
        <v>19</v>
      </c>
      <c r="X78" s="26">
        <f>V78/W78</f>
        <v>0.63157894736842102</v>
      </c>
      <c r="Y78" s="26">
        <f>H78/(H78+I78)</f>
        <v>0.66666666666666663</v>
      </c>
      <c r="Z78" s="26">
        <f>J78/(J78+K78)</f>
        <v>0.6</v>
      </c>
      <c r="AA78" s="26">
        <f>L79/(L79+M79)</f>
        <v>0.6</v>
      </c>
      <c r="AB78" s="26" t="e">
        <f>N78/(N78+O78)</f>
        <v>#DIV/0!</v>
      </c>
      <c r="AC78" s="26" t="e">
        <f>P78/(P78+Q78)</f>
        <v>#DIV/0!</v>
      </c>
      <c r="AD78" s="26">
        <f>V78/W78</f>
        <v>0.63157894736842102</v>
      </c>
    </row>
    <row r="79" spans="1:30" x14ac:dyDescent="0.2">
      <c r="A79" s="9" t="s">
        <v>147</v>
      </c>
      <c r="B79" s="10" t="s">
        <v>305</v>
      </c>
      <c r="C79" s="11" t="s">
        <v>144</v>
      </c>
      <c r="D79" s="11" t="s">
        <v>464</v>
      </c>
      <c r="E79" s="11" t="s">
        <v>460</v>
      </c>
      <c r="F79" s="11" t="s">
        <v>149</v>
      </c>
      <c r="G79" s="13">
        <v>3</v>
      </c>
      <c r="H79" s="13">
        <v>7</v>
      </c>
      <c r="I79" s="13">
        <v>5</v>
      </c>
      <c r="J79" s="13">
        <v>6</v>
      </c>
      <c r="K79" s="13">
        <v>3</v>
      </c>
      <c r="L79" s="13">
        <v>6</v>
      </c>
      <c r="M79" s="13">
        <v>4</v>
      </c>
      <c r="N79" s="13"/>
      <c r="O79" s="13"/>
      <c r="P79" s="13"/>
      <c r="Q79" s="13"/>
      <c r="R79" s="11" t="s">
        <v>148</v>
      </c>
      <c r="S79" s="11" t="s">
        <v>464</v>
      </c>
      <c r="T79" s="11" t="s">
        <v>460</v>
      </c>
      <c r="U79" s="13">
        <v>1</v>
      </c>
      <c r="V79" s="15">
        <f>H79+J79+L79+N79+P79</f>
        <v>19</v>
      </c>
      <c r="W79" s="15">
        <f>H79+I79+J79+K79+L79+M79+N79+O79+P79+Q79</f>
        <v>31</v>
      </c>
      <c r="X79" s="26">
        <f>V79/W79</f>
        <v>0.61290322580645162</v>
      </c>
      <c r="Y79" s="26">
        <f>H79/(H79+I79)</f>
        <v>0.58333333333333337</v>
      </c>
      <c r="Z79" s="26">
        <f>J79/(J79+K79)</f>
        <v>0.66666666666666663</v>
      </c>
      <c r="AA79" s="26" t="e">
        <f>L80/(L80+M80)</f>
        <v>#DIV/0!</v>
      </c>
      <c r="AB79" s="26" t="e">
        <f>N79/(N79+O79)</f>
        <v>#DIV/0!</v>
      </c>
      <c r="AC79" s="26" t="e">
        <f>P79/(P79+Q79)</f>
        <v>#DIV/0!</v>
      </c>
      <c r="AD79" s="26">
        <f>V79/W79</f>
        <v>0.61290322580645162</v>
      </c>
    </row>
    <row r="80" spans="1:30" x14ac:dyDescent="0.2">
      <c r="A80" s="9" t="s">
        <v>150</v>
      </c>
      <c r="B80" s="10" t="s">
        <v>438</v>
      </c>
      <c r="C80" s="11" t="s">
        <v>355</v>
      </c>
      <c r="D80" s="11" t="s">
        <v>464</v>
      </c>
      <c r="E80" s="11" t="s">
        <v>460</v>
      </c>
      <c r="F80" s="11" t="s">
        <v>350</v>
      </c>
      <c r="G80" s="13">
        <v>4</v>
      </c>
      <c r="H80" s="16">
        <v>6</v>
      </c>
      <c r="I80" s="16">
        <v>2</v>
      </c>
      <c r="J80" s="16">
        <v>6</v>
      </c>
      <c r="K80" s="16">
        <v>3</v>
      </c>
      <c r="L80" s="16"/>
      <c r="M80" s="16"/>
      <c r="N80" s="16"/>
      <c r="O80" s="16"/>
      <c r="P80" s="16"/>
      <c r="Q80" s="16"/>
      <c r="R80" s="11" t="s">
        <v>361</v>
      </c>
      <c r="S80" s="11" t="s">
        <v>478</v>
      </c>
      <c r="T80" s="11" t="s">
        <v>446</v>
      </c>
      <c r="U80" s="13">
        <v>2</v>
      </c>
      <c r="V80" s="15">
        <f>H80+J80+L80+N80+P80</f>
        <v>12</v>
      </c>
      <c r="W80" s="15">
        <f>H80+I80+J80+K80+L80+M80+N80+O80+P80+Q80</f>
        <v>17</v>
      </c>
      <c r="X80" s="26">
        <f>V80/W80</f>
        <v>0.70588235294117652</v>
      </c>
      <c r="Y80" s="26">
        <f>H80/(H80+I80)</f>
        <v>0.75</v>
      </c>
      <c r="Z80" s="26">
        <f>J80/(J80+K80)</f>
        <v>0.66666666666666663</v>
      </c>
      <c r="AA80" s="26">
        <f>L81/(L81+M81)</f>
        <v>0.33333333333333331</v>
      </c>
      <c r="AB80" s="26" t="e">
        <f>N80/(N80+O80)</f>
        <v>#DIV/0!</v>
      </c>
      <c r="AC80" s="26" t="e">
        <f>P80/(P80+Q80)</f>
        <v>#DIV/0!</v>
      </c>
      <c r="AD80" s="26">
        <f>V80/W80</f>
        <v>0.70588235294117652</v>
      </c>
    </row>
    <row r="81" spans="1:30" x14ac:dyDescent="0.2">
      <c r="A81" s="14" t="s">
        <v>150</v>
      </c>
      <c r="B81" s="10" t="s">
        <v>305</v>
      </c>
      <c r="C81" s="10" t="s">
        <v>495</v>
      </c>
      <c r="D81" s="10" t="s">
        <v>467</v>
      </c>
      <c r="E81" s="18" t="s">
        <v>442</v>
      </c>
      <c r="F81" s="10" t="s">
        <v>151</v>
      </c>
      <c r="G81" s="16">
        <v>2</v>
      </c>
      <c r="H81" s="16">
        <v>6</v>
      </c>
      <c r="I81" s="16">
        <v>1</v>
      </c>
      <c r="J81" s="16">
        <v>6</v>
      </c>
      <c r="K81" s="16">
        <v>2</v>
      </c>
      <c r="L81" s="16">
        <v>3</v>
      </c>
      <c r="M81" s="16">
        <v>6</v>
      </c>
      <c r="N81" s="16">
        <v>6</v>
      </c>
      <c r="O81" s="16">
        <v>3</v>
      </c>
      <c r="P81" s="16"/>
      <c r="Q81" s="16"/>
      <c r="R81" s="10" t="s">
        <v>145</v>
      </c>
      <c r="S81" s="10" t="s">
        <v>464</v>
      </c>
      <c r="T81" s="10" t="s">
        <v>460</v>
      </c>
      <c r="U81" s="16">
        <v>1</v>
      </c>
      <c r="V81" s="15">
        <f>H81+J81+L81+N81+P81</f>
        <v>21</v>
      </c>
      <c r="W81" s="15">
        <f>H81+I81+J81+K81+L81+M81+N81+O81+P81+Q81</f>
        <v>33</v>
      </c>
      <c r="X81" s="26">
        <f>V81/W81</f>
        <v>0.63636363636363635</v>
      </c>
      <c r="Y81" s="26">
        <f>H81/(H81+I81)</f>
        <v>0.8571428571428571</v>
      </c>
      <c r="Z81" s="26">
        <f>J81/(J81+K81)</f>
        <v>0.75</v>
      </c>
      <c r="AA81" s="26" t="e">
        <f>L82/(L82+M82)</f>
        <v>#DIV/0!</v>
      </c>
      <c r="AB81" s="26">
        <f>N81/(N81+O81)</f>
        <v>0.66666666666666663</v>
      </c>
      <c r="AC81" s="26" t="e">
        <f>P81/(P81+Q81)</f>
        <v>#DIV/0!</v>
      </c>
      <c r="AD81" s="26">
        <f>V81/W81</f>
        <v>0.63636363636363635</v>
      </c>
    </row>
    <row r="82" spans="1:30" x14ac:dyDescent="0.2">
      <c r="A82" s="14" t="s">
        <v>152</v>
      </c>
      <c r="B82" s="10" t="s">
        <v>438</v>
      </c>
      <c r="C82" s="10" t="s">
        <v>371</v>
      </c>
      <c r="D82" s="10" t="s">
        <v>464</v>
      </c>
      <c r="E82" s="10" t="s">
        <v>460</v>
      </c>
      <c r="F82" s="10" t="s">
        <v>316</v>
      </c>
      <c r="G82" s="16">
        <v>7</v>
      </c>
      <c r="H82" s="13">
        <v>7</v>
      </c>
      <c r="I82" s="13">
        <v>5</v>
      </c>
      <c r="J82" s="13">
        <v>6</v>
      </c>
      <c r="K82" s="13">
        <v>2</v>
      </c>
      <c r="L82" s="13"/>
      <c r="M82" s="13"/>
      <c r="N82" s="13"/>
      <c r="O82" s="13"/>
      <c r="P82" s="13"/>
      <c r="Q82" s="13"/>
      <c r="R82" s="10" t="s">
        <v>362</v>
      </c>
      <c r="S82" s="10" t="s">
        <v>464</v>
      </c>
      <c r="T82" s="10" t="s">
        <v>460</v>
      </c>
      <c r="U82" s="16">
        <v>3</v>
      </c>
      <c r="V82" s="15">
        <f>H82+J82+L82+N82+P82</f>
        <v>13</v>
      </c>
      <c r="W82" s="15">
        <f>H82+I82+J82+K82+L82+M82+N82+O82+P82+Q82</f>
        <v>20</v>
      </c>
      <c r="X82" s="26">
        <f>V82/W82</f>
        <v>0.65</v>
      </c>
      <c r="Y82" s="26">
        <f>H82/(H82+I82)</f>
        <v>0.58333333333333337</v>
      </c>
      <c r="Z82" s="26">
        <f>J82/(J82+K82)</f>
        <v>0.75</v>
      </c>
      <c r="AA82" s="26">
        <f>L83/(L83+M83)</f>
        <v>0.66666666666666663</v>
      </c>
      <c r="AB82" s="26" t="e">
        <f>N82/(N82+O82)</f>
        <v>#DIV/0!</v>
      </c>
      <c r="AC82" s="26" t="e">
        <f>P82/(P82+Q82)</f>
        <v>#DIV/0!</v>
      </c>
      <c r="AD82" s="26">
        <f>V82/W82</f>
        <v>0.65</v>
      </c>
    </row>
    <row r="83" spans="1:30" x14ac:dyDescent="0.2">
      <c r="A83" s="9" t="s">
        <v>152</v>
      </c>
      <c r="B83" s="10" t="s">
        <v>305</v>
      </c>
      <c r="C83" s="11" t="s">
        <v>153</v>
      </c>
      <c r="D83" s="11" t="s">
        <v>464</v>
      </c>
      <c r="E83" s="11" t="s">
        <v>460</v>
      </c>
      <c r="F83" s="11" t="s">
        <v>154</v>
      </c>
      <c r="G83" s="13">
        <v>3</v>
      </c>
      <c r="H83" s="13">
        <v>5</v>
      </c>
      <c r="I83" s="13">
        <v>7</v>
      </c>
      <c r="J83" s="13">
        <v>3</v>
      </c>
      <c r="K83" s="13">
        <v>6</v>
      </c>
      <c r="L83" s="13">
        <v>6</v>
      </c>
      <c r="M83" s="13">
        <v>3</v>
      </c>
      <c r="N83" s="13">
        <v>8</v>
      </c>
      <c r="O83" s="13">
        <v>6</v>
      </c>
      <c r="P83" s="13">
        <v>8</v>
      </c>
      <c r="Q83" s="13">
        <v>6</v>
      </c>
      <c r="R83" s="11" t="s">
        <v>145</v>
      </c>
      <c r="S83" s="11" t="s">
        <v>464</v>
      </c>
      <c r="T83" s="11" t="s">
        <v>460</v>
      </c>
      <c r="U83" s="13">
        <v>1</v>
      </c>
      <c r="V83" s="15">
        <f>H83+J83+L83+N83+P83</f>
        <v>30</v>
      </c>
      <c r="W83" s="15">
        <f>H83+I83+J83+K83+L83+M83+N83+O83+P83+Q83</f>
        <v>58</v>
      </c>
      <c r="X83" s="26">
        <f>V83/W83</f>
        <v>0.51724137931034486</v>
      </c>
      <c r="Y83" s="26">
        <f>H83/(H83+I83)</f>
        <v>0.41666666666666669</v>
      </c>
      <c r="Z83" s="26">
        <f>J83/(J83+K83)</f>
        <v>0.33333333333333331</v>
      </c>
      <c r="AA83" s="26" t="e">
        <f>L84/(L84+M84)</f>
        <v>#DIV/0!</v>
      </c>
      <c r="AB83" s="26">
        <f>N83/(N83+O83)</f>
        <v>0.5714285714285714</v>
      </c>
      <c r="AC83" s="26">
        <f>P83/(P83+Q83)</f>
        <v>0.5714285714285714</v>
      </c>
      <c r="AD83" s="26">
        <f>V83/W83</f>
        <v>0.51724137931034486</v>
      </c>
    </row>
    <row r="84" spans="1:30" x14ac:dyDescent="0.2">
      <c r="A84" s="9" t="s">
        <v>155</v>
      </c>
      <c r="B84" s="10" t="s">
        <v>438</v>
      </c>
      <c r="C84" s="11" t="s">
        <v>371</v>
      </c>
      <c r="D84" s="11" t="s">
        <v>464</v>
      </c>
      <c r="E84" s="11" t="s">
        <v>460</v>
      </c>
      <c r="F84" s="11" t="s">
        <v>327</v>
      </c>
      <c r="G84" s="13">
        <v>1</v>
      </c>
      <c r="H84" s="16">
        <v>6</v>
      </c>
      <c r="I84" s="16">
        <v>1</v>
      </c>
      <c r="J84" s="16">
        <v>6</v>
      </c>
      <c r="K84" s="16">
        <v>4</v>
      </c>
      <c r="L84" s="16"/>
      <c r="M84" s="16"/>
      <c r="N84" s="16"/>
      <c r="O84" s="16"/>
      <c r="P84" s="16"/>
      <c r="Q84" s="16"/>
      <c r="R84" s="11" t="s">
        <v>362</v>
      </c>
      <c r="S84" s="11" t="s">
        <v>464</v>
      </c>
      <c r="T84" s="11" t="s">
        <v>460</v>
      </c>
      <c r="U84" s="13">
        <v>2</v>
      </c>
      <c r="V84" s="15">
        <f>H84+J84+L84+N84+P84</f>
        <v>12</v>
      </c>
      <c r="W84" s="15">
        <f>H84+I84+J84+K84+L84+M84+N84+O84+P84+Q84</f>
        <v>17</v>
      </c>
      <c r="X84" s="26">
        <f>V84/W84</f>
        <v>0.70588235294117652</v>
      </c>
      <c r="Y84" s="26">
        <f>H84/(H84+I84)</f>
        <v>0.8571428571428571</v>
      </c>
      <c r="Z84" s="26">
        <f>J84/(J84+K84)</f>
        <v>0.6</v>
      </c>
      <c r="AA84" s="26">
        <f>L85/(L85+M85)</f>
        <v>0.58333333333333337</v>
      </c>
      <c r="AB84" s="26" t="e">
        <f>N84/(N84+O84)</f>
        <v>#DIV/0!</v>
      </c>
      <c r="AC84" s="26" t="e">
        <f>P84/(P84+Q84)</f>
        <v>#DIV/0!</v>
      </c>
      <c r="AD84" s="26">
        <f>V84/W84</f>
        <v>0.70588235294117652</v>
      </c>
    </row>
    <row r="85" spans="1:30" x14ac:dyDescent="0.2">
      <c r="A85" s="14" t="s">
        <v>155</v>
      </c>
      <c r="B85" s="10" t="s">
        <v>305</v>
      </c>
      <c r="C85" s="10" t="s">
        <v>156</v>
      </c>
      <c r="D85" s="10" t="s">
        <v>464</v>
      </c>
      <c r="E85" s="10" t="s">
        <v>460</v>
      </c>
      <c r="F85" s="10" t="s">
        <v>157</v>
      </c>
      <c r="G85" s="16">
        <v>2</v>
      </c>
      <c r="H85" s="16">
        <v>1</v>
      </c>
      <c r="I85" s="16">
        <v>6</v>
      </c>
      <c r="J85" s="16">
        <v>6</v>
      </c>
      <c r="K85" s="16">
        <v>3</v>
      </c>
      <c r="L85" s="16">
        <v>7</v>
      </c>
      <c r="M85" s="16">
        <v>5</v>
      </c>
      <c r="N85" s="16">
        <v>6</v>
      </c>
      <c r="O85" s="16">
        <v>4</v>
      </c>
      <c r="P85" s="16"/>
      <c r="Q85" s="16"/>
      <c r="R85" s="10" t="s">
        <v>153</v>
      </c>
      <c r="S85" s="10" t="s">
        <v>464</v>
      </c>
      <c r="T85" s="10" t="s">
        <v>460</v>
      </c>
      <c r="U85" s="16">
        <v>1</v>
      </c>
      <c r="V85" s="15">
        <f>H85+J85+L85+N85+P85</f>
        <v>20</v>
      </c>
      <c r="W85" s="15">
        <f>H85+I85+J85+K85+L85+M85+N85+O85+P85+Q85</f>
        <v>38</v>
      </c>
      <c r="X85" s="26">
        <f>V85/W85</f>
        <v>0.52631578947368418</v>
      </c>
      <c r="Y85" s="26">
        <f>H85/(H85+I85)</f>
        <v>0.14285714285714285</v>
      </c>
      <c r="Z85" s="26">
        <f>J85/(J85+K85)</f>
        <v>0.66666666666666663</v>
      </c>
      <c r="AA85" s="26" t="e">
        <f>L86/(L86+M86)</f>
        <v>#DIV/0!</v>
      </c>
      <c r="AB85" s="26">
        <f>N85/(N85+O85)</f>
        <v>0.6</v>
      </c>
      <c r="AC85" s="26" t="e">
        <f>P85/(P85+Q85)</f>
        <v>#DIV/0!</v>
      </c>
      <c r="AD85" s="26">
        <f>V85/W85</f>
        <v>0.52631578947368418</v>
      </c>
    </row>
    <row r="86" spans="1:30" x14ac:dyDescent="0.2">
      <c r="A86" s="14" t="s">
        <v>158</v>
      </c>
      <c r="B86" s="10" t="s">
        <v>438</v>
      </c>
      <c r="C86" s="10" t="s">
        <v>371</v>
      </c>
      <c r="D86" s="10" t="s">
        <v>464</v>
      </c>
      <c r="E86" s="10" t="s">
        <v>460</v>
      </c>
      <c r="F86" s="10" t="s">
        <v>363</v>
      </c>
      <c r="G86" s="16">
        <v>1</v>
      </c>
      <c r="H86" s="13">
        <v>6</v>
      </c>
      <c r="I86" s="13">
        <v>0</v>
      </c>
      <c r="J86" s="13">
        <v>6</v>
      </c>
      <c r="K86" s="13">
        <v>2</v>
      </c>
      <c r="L86" s="13"/>
      <c r="M86" s="13"/>
      <c r="N86" s="13"/>
      <c r="O86" s="13"/>
      <c r="P86" s="13"/>
      <c r="Q86" s="13"/>
      <c r="R86" s="10" t="s">
        <v>362</v>
      </c>
      <c r="S86" s="10" t="s">
        <v>464</v>
      </c>
      <c r="T86" s="10" t="s">
        <v>460</v>
      </c>
      <c r="U86" s="16">
        <v>5</v>
      </c>
      <c r="V86" s="15">
        <f>H86+J86+L86+N86+P86</f>
        <v>12</v>
      </c>
      <c r="W86" s="15">
        <f>H86+I86+J86+K86+L86+M86+N86+O86+P86+Q86</f>
        <v>14</v>
      </c>
      <c r="X86" s="26">
        <f>V86/W86</f>
        <v>0.8571428571428571</v>
      </c>
      <c r="Y86" s="26">
        <f>H86/(H86+I86)</f>
        <v>1</v>
      </c>
      <c r="Z86" s="26">
        <f>J86/(J86+K86)</f>
        <v>0.75</v>
      </c>
      <c r="AA86" s="26">
        <f>L87/(L87+M87)</f>
        <v>0.6</v>
      </c>
      <c r="AB86" s="26" t="e">
        <f>N86/(N86+O86)</f>
        <v>#DIV/0!</v>
      </c>
      <c r="AC86" s="26" t="e">
        <f>P86/(P86+Q86)</f>
        <v>#DIV/0!</v>
      </c>
      <c r="AD86" s="26">
        <f>V86/W86</f>
        <v>0.8571428571428571</v>
      </c>
    </row>
    <row r="87" spans="1:30" x14ac:dyDescent="0.2">
      <c r="A87" s="9" t="s">
        <v>158</v>
      </c>
      <c r="B87" s="10" t="s">
        <v>305</v>
      </c>
      <c r="C87" s="11" t="s">
        <v>153</v>
      </c>
      <c r="D87" s="11" t="s">
        <v>464</v>
      </c>
      <c r="E87" s="11" t="s">
        <v>460</v>
      </c>
      <c r="F87" s="11" t="s">
        <v>159</v>
      </c>
      <c r="G87" s="13">
        <v>1</v>
      </c>
      <c r="H87" s="13">
        <v>8</v>
      </c>
      <c r="I87" s="13">
        <v>6</v>
      </c>
      <c r="J87" s="13">
        <v>0</v>
      </c>
      <c r="K87" s="13">
        <v>6</v>
      </c>
      <c r="L87" s="13">
        <v>6</v>
      </c>
      <c r="M87" s="13">
        <v>4</v>
      </c>
      <c r="N87" s="13">
        <v>6</v>
      </c>
      <c r="O87" s="13">
        <v>4</v>
      </c>
      <c r="P87" s="13"/>
      <c r="Q87" s="13"/>
      <c r="R87" s="11" t="s">
        <v>156</v>
      </c>
      <c r="S87" s="11" t="s">
        <v>464</v>
      </c>
      <c r="T87" s="11" t="s">
        <v>460</v>
      </c>
      <c r="U87" s="13">
        <v>2</v>
      </c>
      <c r="V87" s="15">
        <f>H87+J87+L87+N87+P87</f>
        <v>20</v>
      </c>
      <c r="W87" s="15">
        <f>H87+I87+J87+K87+L87+M87+N87+O87+P87+Q87</f>
        <v>40</v>
      </c>
      <c r="X87" s="26">
        <f>V87/W87</f>
        <v>0.5</v>
      </c>
      <c r="Y87" s="26">
        <f>H87/(H87+I87)</f>
        <v>0.5714285714285714</v>
      </c>
      <c r="Z87" s="26">
        <f>J87/(J87+K87)</f>
        <v>0</v>
      </c>
      <c r="AA87" s="26" t="e">
        <f>L88/(L88+M88)</f>
        <v>#DIV/0!</v>
      </c>
      <c r="AB87" s="26">
        <f>N87/(N87+O87)</f>
        <v>0.6</v>
      </c>
      <c r="AC87" s="26" t="e">
        <f>P87/(P87+Q87)</f>
        <v>#DIV/0!</v>
      </c>
      <c r="AD87" s="26">
        <f>V87/W87</f>
        <v>0.5</v>
      </c>
    </row>
    <row r="88" spans="1:30" x14ac:dyDescent="0.2">
      <c r="A88" s="9" t="s">
        <v>160</v>
      </c>
      <c r="B88" s="10" t="s">
        <v>438</v>
      </c>
      <c r="C88" s="11" t="s">
        <v>371</v>
      </c>
      <c r="D88" s="11" t="s">
        <v>464</v>
      </c>
      <c r="E88" s="11" t="s">
        <v>460</v>
      </c>
      <c r="F88" s="11" t="s">
        <v>364</v>
      </c>
      <c r="G88" s="13">
        <v>1</v>
      </c>
      <c r="H88" s="16">
        <v>6</v>
      </c>
      <c r="I88" s="16">
        <v>2</v>
      </c>
      <c r="J88" s="16">
        <v>6</v>
      </c>
      <c r="K88" s="16">
        <v>2</v>
      </c>
      <c r="L88" s="16"/>
      <c r="M88" s="16"/>
      <c r="N88" s="16"/>
      <c r="O88" s="16"/>
      <c r="P88" s="16"/>
      <c r="Q88" s="16"/>
      <c r="R88" s="11" t="s">
        <v>362</v>
      </c>
      <c r="S88" s="11" t="s">
        <v>464</v>
      </c>
      <c r="T88" s="11" t="s">
        <v>460</v>
      </c>
      <c r="U88" s="13">
        <v>3</v>
      </c>
      <c r="V88" s="15">
        <f>H88+J88+L88+N88+P88</f>
        <v>12</v>
      </c>
      <c r="W88" s="15">
        <f>H88+I88+J88+K88+L88+M88+N88+O88+P88+Q88</f>
        <v>16</v>
      </c>
      <c r="X88" s="26">
        <f>V88/W88</f>
        <v>0.75</v>
      </c>
      <c r="Y88" s="26">
        <f>H88/(H88+I88)</f>
        <v>0.75</v>
      </c>
      <c r="Z88" s="26">
        <f>J88/(J88+K88)</f>
        <v>0.75</v>
      </c>
      <c r="AA88" s="26">
        <f>L89/(L89+M89)</f>
        <v>0.8571428571428571</v>
      </c>
      <c r="AB88" s="26" t="e">
        <f>N88/(N88+O88)</f>
        <v>#DIV/0!</v>
      </c>
      <c r="AC88" s="26" t="e">
        <f>P88/(P88+Q88)</f>
        <v>#DIV/0!</v>
      </c>
      <c r="AD88" s="26">
        <f>V88/W88</f>
        <v>0.75</v>
      </c>
    </row>
    <row r="89" spans="1:30" x14ac:dyDescent="0.2">
      <c r="A89" s="14" t="s">
        <v>160</v>
      </c>
      <c r="B89" s="10" t="s">
        <v>305</v>
      </c>
      <c r="C89" s="10" t="s">
        <v>156</v>
      </c>
      <c r="D89" s="10" t="s">
        <v>464</v>
      </c>
      <c r="E89" s="10" t="s">
        <v>460</v>
      </c>
      <c r="F89" s="10" t="s">
        <v>162</v>
      </c>
      <c r="G89" s="16">
        <v>1</v>
      </c>
      <c r="H89" s="16">
        <v>6</v>
      </c>
      <c r="I89" s="16">
        <v>3</v>
      </c>
      <c r="J89" s="16">
        <v>6</v>
      </c>
      <c r="K89" s="16">
        <v>3</v>
      </c>
      <c r="L89" s="16">
        <v>6</v>
      </c>
      <c r="M89" s="16">
        <v>1</v>
      </c>
      <c r="N89" s="16"/>
      <c r="O89" s="16"/>
      <c r="P89" s="16"/>
      <c r="Q89" s="16"/>
      <c r="R89" s="10" t="s">
        <v>161</v>
      </c>
      <c r="S89" s="10" t="s">
        <v>464</v>
      </c>
      <c r="T89" s="10" t="s">
        <v>460</v>
      </c>
      <c r="U89" s="16">
        <v>2</v>
      </c>
      <c r="V89" s="15">
        <f>H89+J89+L89+N89+P89</f>
        <v>18</v>
      </c>
      <c r="W89" s="15">
        <f>H89+I89+J89+K89+L89+M89+N89+O89+P89+Q89</f>
        <v>25</v>
      </c>
      <c r="X89" s="26">
        <f>V89/W89</f>
        <v>0.72</v>
      </c>
      <c r="Y89" s="26">
        <f>H89/(H89+I89)</f>
        <v>0.66666666666666663</v>
      </c>
      <c r="Z89" s="26">
        <f>J89/(J89+K89)</f>
        <v>0.66666666666666663</v>
      </c>
      <c r="AA89" s="26" t="e">
        <f>L90/(L90+M90)</f>
        <v>#DIV/0!</v>
      </c>
      <c r="AB89" s="26" t="e">
        <f>N89/(N89+O89)</f>
        <v>#DIV/0!</v>
      </c>
      <c r="AC89" s="26" t="e">
        <f>P89/(P89+Q89)</f>
        <v>#DIV/0!</v>
      </c>
      <c r="AD89" s="26">
        <f>V89/W89</f>
        <v>0.72</v>
      </c>
    </row>
    <row r="90" spans="1:30" x14ac:dyDescent="0.2">
      <c r="A90" s="14" t="s">
        <v>163</v>
      </c>
      <c r="B90" s="10" t="s">
        <v>438</v>
      </c>
      <c r="C90" s="10" t="s">
        <v>371</v>
      </c>
      <c r="D90" s="10" t="s">
        <v>464</v>
      </c>
      <c r="E90" s="10" t="s">
        <v>460</v>
      </c>
      <c r="F90" s="10" t="s">
        <v>337</v>
      </c>
      <c r="G90" s="16">
        <v>1</v>
      </c>
      <c r="H90" s="13">
        <v>6</v>
      </c>
      <c r="I90" s="13">
        <v>3</v>
      </c>
      <c r="J90" s="13">
        <v>6</v>
      </c>
      <c r="K90" s="13">
        <v>2</v>
      </c>
      <c r="L90" s="13"/>
      <c r="M90" s="13"/>
      <c r="N90" s="13"/>
      <c r="O90" s="13"/>
      <c r="P90" s="13"/>
      <c r="Q90" s="13"/>
      <c r="R90" s="10" t="s">
        <v>365</v>
      </c>
      <c r="S90" s="10" t="s">
        <v>464</v>
      </c>
      <c r="T90" s="10" t="s">
        <v>460</v>
      </c>
      <c r="U90" s="16">
        <v>2</v>
      </c>
      <c r="V90" s="15">
        <f>H90+J90+L90+N90+P90</f>
        <v>12</v>
      </c>
      <c r="W90" s="15">
        <f>H90+I90+J90+K90+L90+M90+N90+O90+P90+Q90</f>
        <v>17</v>
      </c>
      <c r="X90" s="26">
        <f>V90/W90</f>
        <v>0.70588235294117652</v>
      </c>
      <c r="Y90" s="26">
        <f>H90/(H90+I90)</f>
        <v>0.66666666666666663</v>
      </c>
      <c r="Z90" s="26">
        <f>J90/(J90+K90)</f>
        <v>0.75</v>
      </c>
      <c r="AA90" s="26">
        <f>L91/(L91+M91)</f>
        <v>0.75</v>
      </c>
      <c r="AB90" s="26" t="e">
        <f>N90/(N90+O90)</f>
        <v>#DIV/0!</v>
      </c>
      <c r="AC90" s="26" t="e">
        <f>P90/(P90+Q90)</f>
        <v>#DIV/0!</v>
      </c>
      <c r="AD90" s="26">
        <f>V90/W90</f>
        <v>0.70588235294117652</v>
      </c>
    </row>
    <row r="91" spans="1:30" x14ac:dyDescent="0.2">
      <c r="A91" s="9" t="s">
        <v>163</v>
      </c>
      <c r="B91" s="10" t="s">
        <v>305</v>
      </c>
      <c r="C91" s="11" t="s">
        <v>156</v>
      </c>
      <c r="D91" s="11" t="s">
        <v>464</v>
      </c>
      <c r="E91" s="11" t="s">
        <v>460</v>
      </c>
      <c r="F91" s="11" t="s">
        <v>165</v>
      </c>
      <c r="G91" s="13">
        <v>1</v>
      </c>
      <c r="H91" s="13">
        <v>6</v>
      </c>
      <c r="I91" s="13">
        <v>3</v>
      </c>
      <c r="J91" s="13">
        <v>6</v>
      </c>
      <c r="K91" s="13">
        <v>4</v>
      </c>
      <c r="L91" s="13">
        <v>6</v>
      </c>
      <c r="M91" s="13">
        <v>2</v>
      </c>
      <c r="N91" s="13"/>
      <c r="O91" s="13"/>
      <c r="P91" s="13"/>
      <c r="Q91" s="13"/>
      <c r="R91" s="11" t="s">
        <v>164</v>
      </c>
      <c r="S91" s="11" t="s">
        <v>464</v>
      </c>
      <c r="T91" s="11" t="s">
        <v>460</v>
      </c>
      <c r="U91" s="13">
        <v>2</v>
      </c>
      <c r="V91" s="15">
        <f>H91+J91+L91+N91+P91</f>
        <v>18</v>
      </c>
      <c r="W91" s="15">
        <f>H91+I91+J91+K91+L91+M91+N91+O91+P91+Q91</f>
        <v>27</v>
      </c>
      <c r="X91" s="26">
        <f>V91/W91</f>
        <v>0.66666666666666663</v>
      </c>
      <c r="Y91" s="26">
        <f>H91/(H91+I91)</f>
        <v>0.66666666666666663</v>
      </c>
      <c r="Z91" s="26">
        <f>J91/(J91+K91)</f>
        <v>0.6</v>
      </c>
      <c r="AA91" s="26">
        <f>L92/(L92+M92)</f>
        <v>0.7142857142857143</v>
      </c>
      <c r="AB91" s="26" t="e">
        <f>N91/(N91+O91)</f>
        <v>#DIV/0!</v>
      </c>
      <c r="AC91" s="26" t="e">
        <f>P91/(P91+Q91)</f>
        <v>#DIV/0!</v>
      </c>
      <c r="AD91" s="26">
        <f>V91/W91</f>
        <v>0.66666666666666663</v>
      </c>
    </row>
    <row r="92" spans="1:30" x14ac:dyDescent="0.2">
      <c r="A92" s="9" t="s">
        <v>166</v>
      </c>
      <c r="B92" s="10" t="s">
        <v>438</v>
      </c>
      <c r="C92" s="11" t="s">
        <v>371</v>
      </c>
      <c r="D92" s="11" t="s">
        <v>464</v>
      </c>
      <c r="E92" s="11" t="s">
        <v>460</v>
      </c>
      <c r="F92" s="11" t="s">
        <v>367</v>
      </c>
      <c r="G92" s="13">
        <v>1</v>
      </c>
      <c r="H92" s="16">
        <v>5</v>
      </c>
      <c r="I92" s="16">
        <v>7</v>
      </c>
      <c r="J92" s="16">
        <v>6</v>
      </c>
      <c r="K92" s="16">
        <v>4</v>
      </c>
      <c r="L92" s="16">
        <v>5</v>
      </c>
      <c r="M92" s="16">
        <v>2</v>
      </c>
      <c r="N92" s="16"/>
      <c r="O92" s="16"/>
      <c r="P92" s="16"/>
      <c r="Q92" s="16"/>
      <c r="R92" s="11" t="s">
        <v>366</v>
      </c>
      <c r="S92" s="11" t="s">
        <v>487</v>
      </c>
      <c r="T92" s="11" t="s">
        <v>493</v>
      </c>
      <c r="U92" s="13">
        <v>2</v>
      </c>
      <c r="V92" s="15">
        <f>H92+J92+L92+N92+P92</f>
        <v>16</v>
      </c>
      <c r="W92" s="15">
        <f>H92+I92+J92+K92+L92+M92+N92+O92+P92+Q92</f>
        <v>29</v>
      </c>
      <c r="X92" s="26">
        <f>V92/W92</f>
        <v>0.55172413793103448</v>
      </c>
      <c r="Y92" s="26">
        <f>H92/(H92+I92)</f>
        <v>0.41666666666666669</v>
      </c>
      <c r="Z92" s="26">
        <f>J92/(J92+K92)</f>
        <v>0.6</v>
      </c>
      <c r="AA92" s="26">
        <f>L93/(L93+M93)</f>
        <v>0.6</v>
      </c>
      <c r="AB92" s="26" t="e">
        <f>N92/(N92+O92)</f>
        <v>#DIV/0!</v>
      </c>
      <c r="AC92" s="26" t="e">
        <f>P92/(P92+Q92)</f>
        <v>#DIV/0!</v>
      </c>
      <c r="AD92" s="26">
        <f>V92/W92</f>
        <v>0.55172413793103448</v>
      </c>
    </row>
    <row r="93" spans="1:30" x14ac:dyDescent="0.2">
      <c r="A93" s="14" t="s">
        <v>166</v>
      </c>
      <c r="B93" s="10" t="s">
        <v>305</v>
      </c>
      <c r="C93" s="10" t="s">
        <v>156</v>
      </c>
      <c r="D93" s="10" t="s">
        <v>464</v>
      </c>
      <c r="E93" s="10" t="s">
        <v>460</v>
      </c>
      <c r="F93" s="10" t="s">
        <v>167</v>
      </c>
      <c r="G93" s="16">
        <v>1</v>
      </c>
      <c r="H93" s="16">
        <v>7</v>
      </c>
      <c r="I93" s="16">
        <v>9</v>
      </c>
      <c r="J93" s="16">
        <v>2</v>
      </c>
      <c r="K93" s="16">
        <v>6</v>
      </c>
      <c r="L93" s="16">
        <v>6</v>
      </c>
      <c r="M93" s="16">
        <v>4</v>
      </c>
      <c r="N93" s="16">
        <v>7</v>
      </c>
      <c r="O93" s="16">
        <v>5</v>
      </c>
      <c r="P93" s="16">
        <v>6</v>
      </c>
      <c r="Q93" s="16">
        <v>1</v>
      </c>
      <c r="R93" s="10" t="s">
        <v>164</v>
      </c>
      <c r="S93" s="10" t="s">
        <v>464</v>
      </c>
      <c r="T93" s="10" t="s">
        <v>460</v>
      </c>
      <c r="U93" s="16">
        <v>2</v>
      </c>
      <c r="V93" s="15">
        <f>H93+J93+L93+N93+P93</f>
        <v>28</v>
      </c>
      <c r="W93" s="15">
        <f>H93+I93+J93+K93+L93+M93+N93+O93+P93+Q93</f>
        <v>53</v>
      </c>
      <c r="X93" s="26">
        <f>V93/W93</f>
        <v>0.52830188679245282</v>
      </c>
      <c r="Y93" s="26">
        <f>H93/(H93+I93)</f>
        <v>0.4375</v>
      </c>
      <c r="Z93" s="26">
        <f>J93/(J93+K93)</f>
        <v>0.25</v>
      </c>
      <c r="AA93" s="26" t="e">
        <f>L94/(L94+M94)</f>
        <v>#DIV/0!</v>
      </c>
      <c r="AB93" s="26">
        <f>N93/(N93+O93)</f>
        <v>0.58333333333333337</v>
      </c>
      <c r="AC93" s="26">
        <f>P93/(P93+Q93)</f>
        <v>0.8571428571428571</v>
      </c>
      <c r="AD93" s="26">
        <f>V93/W93</f>
        <v>0.52830188679245282</v>
      </c>
    </row>
    <row r="94" spans="1:30" x14ac:dyDescent="0.2">
      <c r="A94" s="14" t="s">
        <v>168</v>
      </c>
      <c r="B94" s="10" t="s">
        <v>438</v>
      </c>
      <c r="C94" s="10" t="s">
        <v>371</v>
      </c>
      <c r="D94" s="10" t="s">
        <v>464</v>
      </c>
      <c r="E94" s="10" t="s">
        <v>460</v>
      </c>
      <c r="F94" s="10" t="s">
        <v>369</v>
      </c>
      <c r="G94" s="16">
        <v>1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0" t="s">
        <v>368</v>
      </c>
      <c r="S94" s="10" t="s">
        <v>467</v>
      </c>
      <c r="T94" s="10" t="s">
        <v>442</v>
      </c>
      <c r="U94" s="16">
        <v>2</v>
      </c>
      <c r="V94" s="15">
        <f>H94+J94+L94+N94+P94</f>
        <v>0</v>
      </c>
      <c r="W94" s="15">
        <f>H94+I94+J94+K94+L94+M94+N94+O94+P94+Q94</f>
        <v>0</v>
      </c>
      <c r="X94" s="26" t="e">
        <f>V94/W94</f>
        <v>#DIV/0!</v>
      </c>
      <c r="Y94" s="26" t="e">
        <f>H94/(H94+I94)</f>
        <v>#DIV/0!</v>
      </c>
      <c r="Z94" s="26" t="e">
        <f>J94/(J94+K94)</f>
        <v>#DIV/0!</v>
      </c>
      <c r="AA94" s="26">
        <f>L95/(L95+M95)</f>
        <v>0.75</v>
      </c>
      <c r="AB94" s="26" t="e">
        <f>N94/(N94+O94)</f>
        <v>#DIV/0!</v>
      </c>
      <c r="AC94" s="26" t="e">
        <f>P94/(P94+Q94)</f>
        <v>#DIV/0!</v>
      </c>
      <c r="AD94" s="26" t="e">
        <f>V94/W94</f>
        <v>#DIV/0!</v>
      </c>
    </row>
    <row r="95" spans="1:30" x14ac:dyDescent="0.2">
      <c r="A95" s="9" t="s">
        <v>168</v>
      </c>
      <c r="B95" s="10" t="s">
        <v>305</v>
      </c>
      <c r="C95" s="11" t="s">
        <v>156</v>
      </c>
      <c r="D95" s="11" t="s">
        <v>464</v>
      </c>
      <c r="E95" s="11" t="s">
        <v>460</v>
      </c>
      <c r="F95" s="11" t="s">
        <v>170</v>
      </c>
      <c r="G95" s="13">
        <v>1</v>
      </c>
      <c r="H95" s="13">
        <v>6</v>
      </c>
      <c r="I95" s="13">
        <v>4</v>
      </c>
      <c r="J95" s="13">
        <v>6</v>
      </c>
      <c r="K95" s="13">
        <v>8</v>
      </c>
      <c r="L95" s="13">
        <v>6</v>
      </c>
      <c r="M95" s="13">
        <v>2</v>
      </c>
      <c r="N95" s="13">
        <v>6</v>
      </c>
      <c r="O95" s="13">
        <v>3</v>
      </c>
      <c r="P95" s="13"/>
      <c r="Q95" s="13"/>
      <c r="R95" s="11" t="s">
        <v>169</v>
      </c>
      <c r="S95" s="11" t="s">
        <v>467</v>
      </c>
      <c r="T95" s="11" t="s">
        <v>442</v>
      </c>
      <c r="U95" s="13">
        <v>2</v>
      </c>
      <c r="V95" s="15">
        <f>H95+J95+L95+N95+P95</f>
        <v>24</v>
      </c>
      <c r="W95" s="15">
        <f>H95+I95+J95+K95+L95+M95+N95+O95+P95+Q95</f>
        <v>41</v>
      </c>
      <c r="X95" s="26">
        <f>V95/W95</f>
        <v>0.58536585365853655</v>
      </c>
      <c r="Y95" s="26">
        <f>H95/(H95+I95)</f>
        <v>0.6</v>
      </c>
      <c r="Z95" s="26">
        <f>J95/(J95+K95)</f>
        <v>0.42857142857142855</v>
      </c>
      <c r="AA95" s="26" t="e">
        <f>L96/(L96+M96)</f>
        <v>#DIV/0!</v>
      </c>
      <c r="AB95" s="26">
        <f>N95/(N95+O95)</f>
        <v>0.66666666666666663</v>
      </c>
      <c r="AC95" s="26" t="e">
        <f>P95/(P95+Q95)</f>
        <v>#DIV/0!</v>
      </c>
      <c r="AD95" s="26">
        <f>V95/W95</f>
        <v>0.58536585365853655</v>
      </c>
    </row>
    <row r="96" spans="1:30" x14ac:dyDescent="0.2">
      <c r="A96" s="9" t="s">
        <v>171</v>
      </c>
      <c r="B96" s="10" t="s">
        <v>438</v>
      </c>
      <c r="C96" s="11" t="s">
        <v>368</v>
      </c>
      <c r="D96" s="11" t="s">
        <v>467</v>
      </c>
      <c r="E96" s="11" t="s">
        <v>442</v>
      </c>
      <c r="F96" s="11" t="s">
        <v>327</v>
      </c>
      <c r="G96" s="13">
        <v>1</v>
      </c>
      <c r="H96" s="16">
        <v>6</v>
      </c>
      <c r="I96" s="16">
        <v>1</v>
      </c>
      <c r="J96" s="16">
        <v>6</v>
      </c>
      <c r="K96" s="16">
        <v>4</v>
      </c>
      <c r="L96" s="16"/>
      <c r="M96" s="16"/>
      <c r="N96" s="16"/>
      <c r="O96" s="16"/>
      <c r="P96" s="16"/>
      <c r="Q96" s="16"/>
      <c r="R96" s="11" t="s">
        <v>365</v>
      </c>
      <c r="S96" s="11" t="s">
        <v>464</v>
      </c>
      <c r="T96" s="11" t="s">
        <v>460</v>
      </c>
      <c r="U96" s="13">
        <v>2</v>
      </c>
      <c r="V96" s="15">
        <f>H96+J96+L96+N96+P96</f>
        <v>12</v>
      </c>
      <c r="W96" s="15">
        <f>H96+I96+J96+K96+L96+M96+N96+O96+P96+Q96</f>
        <v>17</v>
      </c>
      <c r="X96" s="26">
        <f>V96/W96</f>
        <v>0.70588235294117652</v>
      </c>
      <c r="Y96" s="26">
        <f>H96/(H96+I96)</f>
        <v>0.8571428571428571</v>
      </c>
      <c r="Z96" s="26">
        <f>J96/(J96+K96)</f>
        <v>0.6</v>
      </c>
      <c r="AA96" s="26">
        <f>L97/(L97+M97)</f>
        <v>0.6</v>
      </c>
      <c r="AB96" s="26" t="e">
        <f>N96/(N96+O96)</f>
        <v>#DIV/0!</v>
      </c>
      <c r="AC96" s="26" t="e">
        <f>P96/(P96+Q96)</f>
        <v>#DIV/0!</v>
      </c>
      <c r="AD96" s="26">
        <f>V96/W96</f>
        <v>0.70588235294117652</v>
      </c>
    </row>
    <row r="97" spans="1:30" x14ac:dyDescent="0.2">
      <c r="A97" s="14" t="s">
        <v>171</v>
      </c>
      <c r="B97" s="10" t="s">
        <v>305</v>
      </c>
      <c r="C97" s="10" t="s">
        <v>156</v>
      </c>
      <c r="D97" s="10" t="s">
        <v>464</v>
      </c>
      <c r="E97" s="10" t="s">
        <v>460</v>
      </c>
      <c r="F97" s="10" t="s">
        <v>172</v>
      </c>
      <c r="G97" s="16">
        <v>1</v>
      </c>
      <c r="H97" s="16">
        <v>6</v>
      </c>
      <c r="I97" s="16">
        <v>4</v>
      </c>
      <c r="J97" s="16">
        <v>6</v>
      </c>
      <c r="K97" s="16">
        <v>1</v>
      </c>
      <c r="L97" s="16">
        <v>6</v>
      </c>
      <c r="M97" s="16">
        <v>4</v>
      </c>
      <c r="N97" s="16"/>
      <c r="O97" s="16"/>
      <c r="P97" s="16"/>
      <c r="Q97" s="16"/>
      <c r="R97" s="10" t="s">
        <v>169</v>
      </c>
      <c r="S97" s="10" t="s">
        <v>467</v>
      </c>
      <c r="T97" s="10" t="s">
        <v>442</v>
      </c>
      <c r="U97" s="16">
        <v>2</v>
      </c>
      <c r="V97" s="15">
        <f>H97+J97+L97+N97+P97</f>
        <v>18</v>
      </c>
      <c r="W97" s="15">
        <f>H97+I97+J97+K97+L97+M97+N97+O97+P97+Q97</f>
        <v>27</v>
      </c>
      <c r="X97" s="26">
        <f>V97/W97</f>
        <v>0.66666666666666663</v>
      </c>
      <c r="Y97" s="26">
        <f>H97/(H97+I97)</f>
        <v>0.6</v>
      </c>
      <c r="Z97" s="26">
        <f>J97/(J97+K97)</f>
        <v>0.8571428571428571</v>
      </c>
      <c r="AA97" s="26" t="e">
        <f>L98/(L98+M98)</f>
        <v>#DIV/0!</v>
      </c>
      <c r="AB97" s="26" t="e">
        <f>N97/(N97+O97)</f>
        <v>#DIV/0!</v>
      </c>
      <c r="AC97" s="26" t="e">
        <f>P97/(P97+Q97)</f>
        <v>#DIV/0!</v>
      </c>
      <c r="AD97" s="26">
        <f>V97/W97</f>
        <v>0.66666666666666663</v>
      </c>
    </row>
    <row r="98" spans="1:30" x14ac:dyDescent="0.2">
      <c r="A98" s="14" t="s">
        <v>173</v>
      </c>
      <c r="B98" s="10" t="s">
        <v>438</v>
      </c>
      <c r="C98" s="10" t="s">
        <v>370</v>
      </c>
      <c r="D98" s="10" t="s">
        <v>467</v>
      </c>
      <c r="E98" s="18" t="s">
        <v>442</v>
      </c>
      <c r="F98" s="10" t="s">
        <v>339</v>
      </c>
      <c r="G98" s="16">
        <v>1</v>
      </c>
      <c r="H98" s="13">
        <v>6</v>
      </c>
      <c r="I98" s="13">
        <v>1</v>
      </c>
      <c r="J98" s="13">
        <v>6</v>
      </c>
      <c r="K98" s="13">
        <v>2</v>
      </c>
      <c r="L98" s="13"/>
      <c r="M98" s="13"/>
      <c r="N98" s="13"/>
      <c r="O98" s="13"/>
      <c r="P98" s="13"/>
      <c r="Q98" s="13"/>
      <c r="R98" s="10" t="s">
        <v>371</v>
      </c>
      <c r="S98" s="10" t="s">
        <v>464</v>
      </c>
      <c r="T98" s="10" t="s">
        <v>460</v>
      </c>
      <c r="U98" s="16">
        <v>7</v>
      </c>
      <c r="V98" s="15">
        <f>H98+J98+L98+N98+P98</f>
        <v>12</v>
      </c>
      <c r="W98" s="15">
        <f>H98+I98+J98+K98+L98+M98+N98+O98+P98+Q98</f>
        <v>15</v>
      </c>
      <c r="X98" s="26">
        <f>V98/W98</f>
        <v>0.8</v>
      </c>
      <c r="Y98" s="26">
        <f>H98/(H98+I98)</f>
        <v>0.8571428571428571</v>
      </c>
      <c r="Z98" s="26">
        <f>J98/(J98+K98)</f>
        <v>0.75</v>
      </c>
      <c r="AA98" s="26">
        <f>L99/(L99+M99)</f>
        <v>0.5625</v>
      </c>
      <c r="AB98" s="26" t="e">
        <f>N98/(N98+O98)</f>
        <v>#DIV/0!</v>
      </c>
      <c r="AC98" s="26" t="e">
        <f>P98/(P98+Q98)</f>
        <v>#DIV/0!</v>
      </c>
      <c r="AD98" s="26">
        <f>V98/W98</f>
        <v>0.8</v>
      </c>
    </row>
    <row r="99" spans="1:30" x14ac:dyDescent="0.2">
      <c r="A99" s="9" t="s">
        <v>173</v>
      </c>
      <c r="B99" s="10" t="s">
        <v>305</v>
      </c>
      <c r="C99" s="11" t="s">
        <v>564</v>
      </c>
      <c r="D99" s="11" t="s">
        <v>464</v>
      </c>
      <c r="E99" s="11" t="s">
        <v>460</v>
      </c>
      <c r="F99" s="11" t="s">
        <v>175</v>
      </c>
      <c r="G99" s="13">
        <v>1</v>
      </c>
      <c r="H99" s="13">
        <v>7</v>
      </c>
      <c r="I99" s="13">
        <v>5</v>
      </c>
      <c r="J99" s="13">
        <v>2</v>
      </c>
      <c r="K99" s="13">
        <v>6</v>
      </c>
      <c r="L99" s="13">
        <v>9</v>
      </c>
      <c r="M99" s="13">
        <v>7</v>
      </c>
      <c r="N99" s="13">
        <v>6</v>
      </c>
      <c r="O99" s="13">
        <v>4</v>
      </c>
      <c r="P99" s="13"/>
      <c r="Q99" s="13"/>
      <c r="R99" s="11" t="s">
        <v>174</v>
      </c>
      <c r="S99" s="11" t="s">
        <v>463</v>
      </c>
      <c r="T99" s="11" t="s">
        <v>453</v>
      </c>
      <c r="U99" s="13">
        <v>2</v>
      </c>
      <c r="V99" s="15">
        <f>H99+J99+L99+N99+P99</f>
        <v>24</v>
      </c>
      <c r="W99" s="15">
        <f>H99+I99+J99+K99+L99+M99+N99+O99+P99+Q99</f>
        <v>46</v>
      </c>
      <c r="X99" s="26">
        <f>V99/W99</f>
        <v>0.52173913043478259</v>
      </c>
      <c r="Y99" s="26">
        <f>H99/(H99+I99)</f>
        <v>0.58333333333333337</v>
      </c>
      <c r="Z99" s="26">
        <f>J99/(J99+K99)</f>
        <v>0.25</v>
      </c>
      <c r="AA99" s="26" t="e">
        <f>L100/(L100+M100)</f>
        <v>#DIV/0!</v>
      </c>
      <c r="AB99" s="26">
        <f>N99/(N99+O99)</f>
        <v>0.6</v>
      </c>
      <c r="AC99" s="26" t="e">
        <f>P99/(P99+Q99)</f>
        <v>#DIV/0!</v>
      </c>
      <c r="AD99" s="26">
        <f>V99/W99</f>
        <v>0.52173913043478259</v>
      </c>
    </row>
    <row r="100" spans="1:30" x14ac:dyDescent="0.2">
      <c r="A100" s="9" t="s">
        <v>176</v>
      </c>
      <c r="B100" s="10" t="s">
        <v>438</v>
      </c>
      <c r="C100" s="11" t="s">
        <v>371</v>
      </c>
      <c r="D100" s="11" t="s">
        <v>464</v>
      </c>
      <c r="E100" s="11" t="s">
        <v>460</v>
      </c>
      <c r="F100" s="11" t="s">
        <v>372</v>
      </c>
      <c r="G100" s="13">
        <v>2</v>
      </c>
      <c r="H100" s="16">
        <v>6</v>
      </c>
      <c r="I100" s="16">
        <v>4</v>
      </c>
      <c r="J100" s="16">
        <v>6</v>
      </c>
      <c r="K100" s="16">
        <v>1</v>
      </c>
      <c r="L100" s="16"/>
      <c r="M100" s="16"/>
      <c r="N100" s="16"/>
      <c r="O100" s="16"/>
      <c r="P100" s="16"/>
      <c r="Q100" s="16"/>
      <c r="R100" s="11" t="s">
        <v>370</v>
      </c>
      <c r="S100" s="11" t="s">
        <v>467</v>
      </c>
      <c r="T100" s="11" t="s">
        <v>442</v>
      </c>
      <c r="U100" s="13">
        <v>1</v>
      </c>
      <c r="V100" s="15">
        <f>H100+J100+L100+N100+P100</f>
        <v>12</v>
      </c>
      <c r="W100" s="15">
        <f>H100+I100+J100+K100+L100+M100+N100+O100+P100+Q100</f>
        <v>17</v>
      </c>
      <c r="X100" s="26">
        <f>V100/W100</f>
        <v>0.70588235294117652</v>
      </c>
      <c r="Y100" s="26">
        <f>H100/(H100+I100)</f>
        <v>0.6</v>
      </c>
      <c r="Z100" s="26">
        <f>J100/(J100+K100)</f>
        <v>0.8571428571428571</v>
      </c>
      <c r="AA100" s="26">
        <f>L101/(L101+M101)</f>
        <v>0.58333333333333337</v>
      </c>
      <c r="AB100" s="26" t="e">
        <f>N100/(N100+O100)</f>
        <v>#DIV/0!</v>
      </c>
      <c r="AC100" s="26" t="e">
        <f>P100/(P100+Q100)</f>
        <v>#DIV/0!</v>
      </c>
      <c r="AD100" s="26">
        <f>V100/W100</f>
        <v>0.70588235294117652</v>
      </c>
    </row>
    <row r="101" spans="1:30" x14ac:dyDescent="0.2">
      <c r="A101" s="14" t="s">
        <v>176</v>
      </c>
      <c r="B101" s="10" t="s">
        <v>305</v>
      </c>
      <c r="C101" s="10" t="s">
        <v>153</v>
      </c>
      <c r="D101" s="10" t="s">
        <v>464</v>
      </c>
      <c r="E101" s="10" t="s">
        <v>460</v>
      </c>
      <c r="F101" s="10" t="s">
        <v>178</v>
      </c>
      <c r="G101" s="16">
        <v>1</v>
      </c>
      <c r="H101" s="16">
        <v>6</v>
      </c>
      <c r="I101" s="16">
        <v>3</v>
      </c>
      <c r="J101" s="16">
        <v>6</v>
      </c>
      <c r="K101" s="16">
        <v>4</v>
      </c>
      <c r="L101" s="16">
        <v>7</v>
      </c>
      <c r="M101" s="16">
        <v>5</v>
      </c>
      <c r="N101" s="16"/>
      <c r="O101" s="16"/>
      <c r="P101" s="16"/>
      <c r="Q101" s="16"/>
      <c r="R101" s="10" t="s">
        <v>177</v>
      </c>
      <c r="S101" s="10" t="s">
        <v>463</v>
      </c>
      <c r="T101" s="10" t="s">
        <v>453</v>
      </c>
      <c r="U101" s="16">
        <v>9</v>
      </c>
      <c r="V101" s="15">
        <f>H101+J101+L101+N101+P101</f>
        <v>19</v>
      </c>
      <c r="W101" s="15">
        <f>H101+I101+J101+K101+L101+M101+N101+O101+P101+Q101</f>
        <v>31</v>
      </c>
      <c r="X101" s="26">
        <f>V101/W101</f>
        <v>0.61290322580645162</v>
      </c>
      <c r="Y101" s="26">
        <f>H101/(H101+I101)</f>
        <v>0.66666666666666663</v>
      </c>
      <c r="Z101" s="26">
        <f>J101/(J101+K101)</f>
        <v>0.6</v>
      </c>
      <c r="AA101" s="26" t="e">
        <f>L102/(L102+M102)</f>
        <v>#DIV/0!</v>
      </c>
      <c r="AB101" s="26" t="e">
        <f>N101/(N101+O101)</f>
        <v>#DIV/0!</v>
      </c>
      <c r="AC101" s="26" t="e">
        <f>P101/(P101+Q101)</f>
        <v>#DIV/0!</v>
      </c>
      <c r="AD101" s="26">
        <f>V101/W101</f>
        <v>0.61290322580645162</v>
      </c>
    </row>
    <row r="102" spans="1:30" x14ac:dyDescent="0.2">
      <c r="A102" s="14" t="s">
        <v>179</v>
      </c>
      <c r="B102" s="10" t="s">
        <v>438</v>
      </c>
      <c r="C102" s="10" t="s">
        <v>371</v>
      </c>
      <c r="D102" s="10" t="s">
        <v>464</v>
      </c>
      <c r="E102" s="10" t="s">
        <v>460</v>
      </c>
      <c r="F102" s="10" t="s">
        <v>314</v>
      </c>
      <c r="G102" s="16">
        <v>1</v>
      </c>
      <c r="H102" s="13">
        <v>6</v>
      </c>
      <c r="I102" s="13">
        <v>1</v>
      </c>
      <c r="J102" s="13">
        <v>6</v>
      </c>
      <c r="K102" s="13">
        <v>3</v>
      </c>
      <c r="L102" s="13"/>
      <c r="M102" s="13"/>
      <c r="N102" s="13"/>
      <c r="O102" s="13"/>
      <c r="P102" s="13"/>
      <c r="Q102" s="13"/>
      <c r="R102" s="10" t="s">
        <v>378</v>
      </c>
      <c r="S102" s="10" t="s">
        <v>464</v>
      </c>
      <c r="T102" s="10" t="s">
        <v>460</v>
      </c>
      <c r="U102" s="16">
        <v>2</v>
      </c>
      <c r="V102" s="15">
        <f>H102+J102+L102+N102+P102</f>
        <v>12</v>
      </c>
      <c r="W102" s="15">
        <f>H102+I102+J102+K102+L102+M102+N102+O102+P102+Q102</f>
        <v>16</v>
      </c>
      <c r="X102" s="26">
        <f>V102/W102</f>
        <v>0.75</v>
      </c>
      <c r="Y102" s="26">
        <f>H102/(H102+I102)</f>
        <v>0.8571428571428571</v>
      </c>
      <c r="Z102" s="26">
        <f>J102/(J102+K102)</f>
        <v>0.66666666666666663</v>
      </c>
      <c r="AA102" s="26">
        <f>L103/(L103+M103)</f>
        <v>0.75</v>
      </c>
      <c r="AB102" s="26" t="e">
        <f>N102/(N102+O102)</f>
        <v>#DIV/0!</v>
      </c>
      <c r="AC102" s="26" t="e">
        <f>P102/(P102+Q102)</f>
        <v>#DIV/0!</v>
      </c>
      <c r="AD102" s="26">
        <f>V102/W102</f>
        <v>0.75</v>
      </c>
    </row>
    <row r="103" spans="1:30" x14ac:dyDescent="0.2">
      <c r="A103" s="9" t="s">
        <v>179</v>
      </c>
      <c r="B103" s="10" t="s">
        <v>305</v>
      </c>
      <c r="C103" s="11" t="s">
        <v>169</v>
      </c>
      <c r="D103" s="11" t="s">
        <v>467</v>
      </c>
      <c r="E103" s="11" t="s">
        <v>442</v>
      </c>
      <c r="F103" s="11" t="s">
        <v>181</v>
      </c>
      <c r="G103" s="13">
        <v>4</v>
      </c>
      <c r="H103" s="13">
        <v>6</v>
      </c>
      <c r="I103" s="13">
        <v>4</v>
      </c>
      <c r="J103" s="13">
        <v>9</v>
      </c>
      <c r="K103" s="13">
        <v>7</v>
      </c>
      <c r="L103" s="13">
        <v>6</v>
      </c>
      <c r="M103" s="13">
        <v>2</v>
      </c>
      <c r="N103" s="13"/>
      <c r="O103" s="13"/>
      <c r="P103" s="13"/>
      <c r="Q103" s="13"/>
      <c r="R103" s="11" t="s">
        <v>180</v>
      </c>
      <c r="S103" s="11" t="s">
        <v>464</v>
      </c>
      <c r="T103" s="11" t="s">
        <v>460</v>
      </c>
      <c r="U103" s="13">
        <v>12</v>
      </c>
      <c r="V103" s="15">
        <f>H103+J103+L103+N103+P103</f>
        <v>21</v>
      </c>
      <c r="W103" s="15">
        <f>H103+I103+J103+K103+L103+M103+N103+O103+P103+Q103</f>
        <v>34</v>
      </c>
      <c r="X103" s="26">
        <f>V103/W103</f>
        <v>0.61764705882352944</v>
      </c>
      <c r="Y103" s="26">
        <f>H103/(H103+I103)</f>
        <v>0.6</v>
      </c>
      <c r="Z103" s="26">
        <f>J103/(J103+K103)</f>
        <v>0.5625</v>
      </c>
      <c r="AA103" s="26">
        <f>L104/(L104+M104)</f>
        <v>0.58333333333333337</v>
      </c>
      <c r="AB103" s="26" t="e">
        <f>N103/(N103+O103)</f>
        <v>#DIV/0!</v>
      </c>
      <c r="AC103" s="26" t="e">
        <f>P103/(P103+Q103)</f>
        <v>#DIV/0!</v>
      </c>
      <c r="AD103" s="26">
        <f>V103/W103</f>
        <v>0.61764705882352944</v>
      </c>
    </row>
    <row r="104" spans="1:30" x14ac:dyDescent="0.2">
      <c r="A104" s="9" t="s">
        <v>182</v>
      </c>
      <c r="B104" s="10" t="s">
        <v>438</v>
      </c>
      <c r="C104" s="11" t="s">
        <v>371</v>
      </c>
      <c r="D104" s="11" t="s">
        <v>464</v>
      </c>
      <c r="E104" s="11" t="s">
        <v>460</v>
      </c>
      <c r="F104" s="11" t="s">
        <v>531</v>
      </c>
      <c r="G104" s="13">
        <v>1</v>
      </c>
      <c r="H104" s="16">
        <v>2</v>
      </c>
      <c r="I104" s="16">
        <v>6</v>
      </c>
      <c r="J104" s="16">
        <v>7</v>
      </c>
      <c r="K104" s="16">
        <v>6</v>
      </c>
      <c r="L104" s="16">
        <v>7</v>
      </c>
      <c r="M104" s="16">
        <v>5</v>
      </c>
      <c r="N104" s="16"/>
      <c r="O104" s="16"/>
      <c r="P104" s="16"/>
      <c r="Q104" s="16"/>
      <c r="R104" s="11" t="s">
        <v>373</v>
      </c>
      <c r="S104" s="11" t="s">
        <v>464</v>
      </c>
      <c r="T104" s="11" t="s">
        <v>460</v>
      </c>
      <c r="U104" s="13">
        <v>2</v>
      </c>
      <c r="V104" s="15">
        <f>H104+J104+L104+N104+P104</f>
        <v>16</v>
      </c>
      <c r="W104" s="15">
        <f>H104+I104+J104+K104+L104+M104+N104+O104+P104+Q104</f>
        <v>33</v>
      </c>
      <c r="X104" s="26">
        <f>V104/W104</f>
        <v>0.48484848484848486</v>
      </c>
      <c r="Y104" s="26">
        <f>H104/(H104+I104)</f>
        <v>0.25</v>
      </c>
      <c r="Z104" s="26">
        <f>J104/(J104+K104)</f>
        <v>0.53846153846153844</v>
      </c>
      <c r="AA104" s="26">
        <f>L105/(L105+M105)</f>
        <v>0.66666666666666663</v>
      </c>
      <c r="AB104" s="26" t="e">
        <f>N104/(N104+O104)</f>
        <v>#DIV/0!</v>
      </c>
      <c r="AC104" s="26" t="e">
        <f>P104/(P104+Q104)</f>
        <v>#DIV/0!</v>
      </c>
      <c r="AD104" s="26">
        <f>V104/W104</f>
        <v>0.48484848484848486</v>
      </c>
    </row>
    <row r="105" spans="1:30" x14ac:dyDescent="0.2">
      <c r="A105" s="14" t="s">
        <v>182</v>
      </c>
      <c r="B105" s="10" t="s">
        <v>305</v>
      </c>
      <c r="C105" s="10" t="s">
        <v>132</v>
      </c>
      <c r="D105" s="10" t="s">
        <v>464</v>
      </c>
      <c r="E105" s="10" t="s">
        <v>460</v>
      </c>
      <c r="F105" s="10" t="s">
        <v>183</v>
      </c>
      <c r="G105" s="16">
        <v>2</v>
      </c>
      <c r="H105" s="16">
        <v>6</v>
      </c>
      <c r="I105" s="16">
        <v>1</v>
      </c>
      <c r="J105" s="16">
        <v>7</v>
      </c>
      <c r="K105" s="16">
        <v>5</v>
      </c>
      <c r="L105" s="16">
        <v>6</v>
      </c>
      <c r="M105" s="16">
        <v>3</v>
      </c>
      <c r="N105" s="16"/>
      <c r="O105" s="16"/>
      <c r="P105" s="16"/>
      <c r="Q105" s="16"/>
      <c r="R105" s="10" t="s">
        <v>169</v>
      </c>
      <c r="S105" s="10" t="s">
        <v>467</v>
      </c>
      <c r="T105" s="10" t="s">
        <v>442</v>
      </c>
      <c r="U105" s="16">
        <v>3</v>
      </c>
      <c r="V105" s="15">
        <f>H105+J105+L105+N105+P105</f>
        <v>19</v>
      </c>
      <c r="W105" s="15">
        <f>H105+I105+J105+K105+L105+M105+N105+O105+P105+Q105</f>
        <v>28</v>
      </c>
      <c r="X105" s="26">
        <f>V105/W105</f>
        <v>0.6785714285714286</v>
      </c>
      <c r="Y105" s="26">
        <f>H105/(H105+I105)</f>
        <v>0.8571428571428571</v>
      </c>
      <c r="Z105" s="26">
        <f>J105/(J105+K105)</f>
        <v>0.58333333333333337</v>
      </c>
      <c r="AA105" s="26" t="e">
        <f>L106/(L106+M106)</f>
        <v>#DIV/0!</v>
      </c>
      <c r="AB105" s="26" t="e">
        <f>N105/(N105+O105)</f>
        <v>#DIV/0!</v>
      </c>
      <c r="AC105" s="26" t="e">
        <f>P105/(P105+Q105)</f>
        <v>#DIV/0!</v>
      </c>
      <c r="AD105" s="26">
        <f>V105/W105</f>
        <v>0.6785714285714286</v>
      </c>
    </row>
    <row r="106" spans="1:30" x14ac:dyDescent="0.2">
      <c r="A106" s="14" t="s">
        <v>184</v>
      </c>
      <c r="B106" s="10" t="s">
        <v>438</v>
      </c>
      <c r="C106" s="10" t="s">
        <v>374</v>
      </c>
      <c r="D106" s="10" t="s">
        <v>457</v>
      </c>
      <c r="E106" s="10" t="s">
        <v>450</v>
      </c>
      <c r="F106" s="10" t="s">
        <v>332</v>
      </c>
      <c r="G106" s="16">
        <v>2</v>
      </c>
      <c r="H106" s="13">
        <v>6</v>
      </c>
      <c r="I106" s="13">
        <v>4</v>
      </c>
      <c r="J106" s="13">
        <v>6</v>
      </c>
      <c r="K106" s="13">
        <v>4</v>
      </c>
      <c r="L106" s="13"/>
      <c r="M106" s="13"/>
      <c r="N106" s="13"/>
      <c r="O106" s="13"/>
      <c r="P106" s="13"/>
      <c r="Q106" s="13"/>
      <c r="R106" s="10" t="s">
        <v>373</v>
      </c>
      <c r="S106" s="10" t="s">
        <v>464</v>
      </c>
      <c r="T106" s="10" t="s">
        <v>460</v>
      </c>
      <c r="U106" s="16">
        <v>1</v>
      </c>
      <c r="V106" s="15">
        <f>H106+J106+L106+N106+P106</f>
        <v>12</v>
      </c>
      <c r="W106" s="15">
        <f>H106+I106+J106+K106+L106+M106+N106+O106+P106+Q106</f>
        <v>20</v>
      </c>
      <c r="X106" s="26">
        <f>V106/W106</f>
        <v>0.6</v>
      </c>
      <c r="Y106" s="26">
        <f>H106/(H106+I106)</f>
        <v>0.6</v>
      </c>
      <c r="Z106" s="26">
        <f>J106/(J106+K106)</f>
        <v>0.6</v>
      </c>
      <c r="AA106" s="26">
        <f>L107/(L107+M107)</f>
        <v>0.58333333333333337</v>
      </c>
      <c r="AB106" s="26" t="e">
        <f>N106/(N106+O106)</f>
        <v>#DIV/0!</v>
      </c>
      <c r="AC106" s="26" t="e">
        <f>P106/(P106+Q106)</f>
        <v>#DIV/0!</v>
      </c>
      <c r="AD106" s="26">
        <f>V106/W106</f>
        <v>0.6</v>
      </c>
    </row>
    <row r="107" spans="1:30" x14ac:dyDescent="0.2">
      <c r="A107" s="9" t="s">
        <v>184</v>
      </c>
      <c r="B107" s="10" t="s">
        <v>305</v>
      </c>
      <c r="C107" s="11" t="s">
        <v>132</v>
      </c>
      <c r="D107" s="11" t="s">
        <v>464</v>
      </c>
      <c r="E107" s="11" t="s">
        <v>460</v>
      </c>
      <c r="F107" s="11" t="s">
        <v>506</v>
      </c>
      <c r="G107" s="13">
        <v>2</v>
      </c>
      <c r="H107" s="13">
        <v>7</v>
      </c>
      <c r="I107" s="13">
        <v>6</v>
      </c>
      <c r="J107" s="13">
        <v>6</v>
      </c>
      <c r="K107" s="13">
        <v>3</v>
      </c>
      <c r="L107" s="13">
        <v>7</v>
      </c>
      <c r="M107" s="13">
        <v>5</v>
      </c>
      <c r="N107" s="13"/>
      <c r="O107" s="13"/>
      <c r="P107" s="13"/>
      <c r="Q107" s="13"/>
      <c r="R107" s="11" t="s">
        <v>148</v>
      </c>
      <c r="S107" s="11" t="s">
        <v>464</v>
      </c>
      <c r="T107" s="11" t="s">
        <v>460</v>
      </c>
      <c r="U107" s="13">
        <v>8</v>
      </c>
      <c r="V107" s="15">
        <f>H107+J107+L107+N107+P107</f>
        <v>20</v>
      </c>
      <c r="W107" s="15">
        <f>H107+I107+J107+K107+L107+M107+N107+O107+P107+Q107</f>
        <v>34</v>
      </c>
      <c r="X107" s="26">
        <f>V107/W107</f>
        <v>0.58823529411764708</v>
      </c>
      <c r="Y107" s="26">
        <f>H107/(H107+I107)</f>
        <v>0.53846153846153844</v>
      </c>
      <c r="Z107" s="26">
        <f>J107/(J107+K107)</f>
        <v>0.66666666666666663</v>
      </c>
      <c r="AA107" s="26" t="e">
        <f>L108/(L108+M108)</f>
        <v>#DIV/0!</v>
      </c>
      <c r="AB107" s="26" t="e">
        <f>N107/(N107+O107)</f>
        <v>#DIV/0!</v>
      </c>
      <c r="AC107" s="26" t="e">
        <f>P107/(P107+Q107)</f>
        <v>#DIV/0!</v>
      </c>
      <c r="AD107" s="26">
        <f>V107/W107</f>
        <v>0.58823529411764708</v>
      </c>
    </row>
    <row r="108" spans="1:30" x14ac:dyDescent="0.2">
      <c r="A108" s="9" t="s">
        <v>185</v>
      </c>
      <c r="B108" s="10" t="s">
        <v>438</v>
      </c>
      <c r="C108" s="11" t="s">
        <v>371</v>
      </c>
      <c r="D108" s="11" t="s">
        <v>464</v>
      </c>
      <c r="E108" s="11" t="s">
        <v>460</v>
      </c>
      <c r="F108" s="11" t="s">
        <v>375</v>
      </c>
      <c r="G108" s="13">
        <v>1</v>
      </c>
      <c r="H108" s="16">
        <v>6</v>
      </c>
      <c r="I108" s="16">
        <v>4</v>
      </c>
      <c r="J108" s="16">
        <v>7</v>
      </c>
      <c r="K108" s="16">
        <v>5</v>
      </c>
      <c r="L108" s="16"/>
      <c r="M108" s="16"/>
      <c r="N108" s="16"/>
      <c r="O108" s="16"/>
      <c r="P108" s="16"/>
      <c r="Q108" s="16"/>
      <c r="R108" s="11" t="s">
        <v>373</v>
      </c>
      <c r="S108" s="11" t="s">
        <v>464</v>
      </c>
      <c r="T108" s="11" t="s">
        <v>460</v>
      </c>
      <c r="U108" s="13">
        <v>2</v>
      </c>
      <c r="V108" s="15">
        <f>H108+J108+L108+N108+P108</f>
        <v>13</v>
      </c>
      <c r="W108" s="15">
        <f>H108+I108+J108+K108+L108+M108+N108+O108+P108+Q108</f>
        <v>22</v>
      </c>
      <c r="X108" s="26">
        <f>V108/W108</f>
        <v>0.59090909090909094</v>
      </c>
      <c r="Y108" s="26">
        <f>H108/(H108+I108)</f>
        <v>0.6</v>
      </c>
      <c r="Z108" s="26">
        <f>J108/(J108+K108)</f>
        <v>0.58333333333333337</v>
      </c>
      <c r="AA108" s="26">
        <f>L109/(L109+M109)</f>
        <v>0.58333333333333337</v>
      </c>
      <c r="AB108" s="26" t="e">
        <f>N108/(N108+O108)</f>
        <v>#DIV/0!</v>
      </c>
      <c r="AC108" s="26" t="e">
        <f>P108/(P108+Q108)</f>
        <v>#DIV/0!</v>
      </c>
      <c r="AD108" s="26">
        <f>V108/W108</f>
        <v>0.59090909090909094</v>
      </c>
    </row>
    <row r="109" spans="1:30" x14ac:dyDescent="0.2">
      <c r="A109" s="14" t="s">
        <v>185</v>
      </c>
      <c r="B109" s="10" t="s">
        <v>305</v>
      </c>
      <c r="C109" s="10" t="s">
        <v>186</v>
      </c>
      <c r="D109" s="10" t="s">
        <v>464</v>
      </c>
      <c r="E109" s="10" t="s">
        <v>460</v>
      </c>
      <c r="F109" s="10" t="s">
        <v>188</v>
      </c>
      <c r="G109" s="16">
        <v>2</v>
      </c>
      <c r="H109" s="16">
        <v>6</v>
      </c>
      <c r="I109" s="16">
        <v>3</v>
      </c>
      <c r="J109" s="16">
        <v>6</v>
      </c>
      <c r="K109" s="16">
        <v>7</v>
      </c>
      <c r="L109" s="16">
        <v>7</v>
      </c>
      <c r="M109" s="16">
        <v>5</v>
      </c>
      <c r="N109" s="16">
        <v>6</v>
      </c>
      <c r="O109" s="16">
        <v>1</v>
      </c>
      <c r="P109" s="16"/>
      <c r="Q109" s="16"/>
      <c r="R109" s="10" t="s">
        <v>187</v>
      </c>
      <c r="S109" s="10" t="s">
        <v>480</v>
      </c>
      <c r="T109" s="10" t="s">
        <v>447</v>
      </c>
      <c r="U109" s="16">
        <v>12</v>
      </c>
      <c r="V109" s="15">
        <f>H109+J109+L109+N109+P109</f>
        <v>25</v>
      </c>
      <c r="W109" s="15">
        <f>H109+I109+J109+K109+L109+M109+N109+O109+P109+Q109</f>
        <v>41</v>
      </c>
      <c r="X109" s="26">
        <f>V109/W109</f>
        <v>0.6097560975609756</v>
      </c>
      <c r="Y109" s="26">
        <f>H109/(H109+I109)</f>
        <v>0.66666666666666663</v>
      </c>
      <c r="Z109" s="26">
        <f>J109/(J109+K109)</f>
        <v>0.46153846153846156</v>
      </c>
      <c r="AA109" s="26">
        <f>L110/(L110+M110)</f>
        <v>1</v>
      </c>
      <c r="AB109" s="26">
        <f>N109/(N109+O109)</f>
        <v>0.8571428571428571</v>
      </c>
      <c r="AC109" s="26" t="e">
        <f>P109/(P109+Q109)</f>
        <v>#DIV/0!</v>
      </c>
      <c r="AD109" s="26">
        <f>V109/W109</f>
        <v>0.6097560975609756</v>
      </c>
    </row>
    <row r="110" spans="1:30" x14ac:dyDescent="0.2">
      <c r="A110" s="14" t="s">
        <v>189</v>
      </c>
      <c r="B110" s="10" t="s">
        <v>438</v>
      </c>
      <c r="C110" s="10" t="s">
        <v>373</v>
      </c>
      <c r="D110" s="10" t="s">
        <v>464</v>
      </c>
      <c r="E110" s="10" t="s">
        <v>460</v>
      </c>
      <c r="F110" s="10" t="s">
        <v>532</v>
      </c>
      <c r="G110" s="16">
        <v>2</v>
      </c>
      <c r="H110" s="13">
        <v>7</v>
      </c>
      <c r="I110" s="13">
        <v>6</v>
      </c>
      <c r="J110" s="13">
        <v>4</v>
      </c>
      <c r="K110" s="13">
        <v>6</v>
      </c>
      <c r="L110" s="13">
        <v>6</v>
      </c>
      <c r="M110" s="13">
        <v>0</v>
      </c>
      <c r="N110" s="13"/>
      <c r="O110" s="13"/>
      <c r="P110" s="13"/>
      <c r="Q110" s="13"/>
      <c r="R110" s="10" t="s">
        <v>376</v>
      </c>
      <c r="S110" s="10" t="s">
        <v>467</v>
      </c>
      <c r="T110" s="10" t="s">
        <v>442</v>
      </c>
      <c r="U110" s="16">
        <v>1</v>
      </c>
      <c r="V110" s="15">
        <f>H110+J110+L110+N110+P110</f>
        <v>17</v>
      </c>
      <c r="W110" s="15">
        <f>H110+I110+J110+K110+L110+M110+N110+O110+P110+Q110</f>
        <v>29</v>
      </c>
      <c r="X110" s="26">
        <f>V110/W110</f>
        <v>0.58620689655172409</v>
      </c>
      <c r="Y110" s="26">
        <f>H110/(H110+I110)</f>
        <v>0.53846153846153844</v>
      </c>
      <c r="Z110" s="26">
        <f>J110/(J110+K110)</f>
        <v>0.4</v>
      </c>
      <c r="AA110" s="26">
        <f>L111/(L111+M111)</f>
        <v>0.4</v>
      </c>
      <c r="AB110" s="26" t="e">
        <f>N110/(N110+O110)</f>
        <v>#DIV/0!</v>
      </c>
      <c r="AC110" s="26" t="e">
        <f>P110/(P110+Q110)</f>
        <v>#DIV/0!</v>
      </c>
      <c r="AD110" s="26">
        <f>V110/W110</f>
        <v>0.58620689655172409</v>
      </c>
    </row>
    <row r="111" spans="1:30" x14ac:dyDescent="0.2">
      <c r="A111" s="9" t="s">
        <v>189</v>
      </c>
      <c r="B111" s="10" t="s">
        <v>305</v>
      </c>
      <c r="C111" s="11" t="s">
        <v>190</v>
      </c>
      <c r="D111" s="11" t="s">
        <v>467</v>
      </c>
      <c r="E111" s="11" t="s">
        <v>442</v>
      </c>
      <c r="F111" s="11" t="s">
        <v>507</v>
      </c>
      <c r="G111" s="13">
        <v>2</v>
      </c>
      <c r="H111" s="13">
        <v>7</v>
      </c>
      <c r="I111" s="13">
        <v>6</v>
      </c>
      <c r="J111" s="13">
        <v>6</v>
      </c>
      <c r="K111" s="13">
        <v>4</v>
      </c>
      <c r="L111" s="13">
        <v>4</v>
      </c>
      <c r="M111" s="13">
        <v>6</v>
      </c>
      <c r="N111" s="13">
        <v>6</v>
      </c>
      <c r="O111" s="13">
        <v>3</v>
      </c>
      <c r="P111" s="13"/>
      <c r="Q111" s="13"/>
      <c r="R111" s="11" t="s">
        <v>191</v>
      </c>
      <c r="S111" s="11" t="s">
        <v>464</v>
      </c>
      <c r="T111" s="11" t="s">
        <v>460</v>
      </c>
      <c r="U111" s="13">
        <v>9</v>
      </c>
      <c r="V111" s="15">
        <f>H111+J111+L111+N111+P111</f>
        <v>23</v>
      </c>
      <c r="W111" s="15">
        <f>H111+I111+J111+K111+L111+M111+N111+O111+P111+Q111</f>
        <v>42</v>
      </c>
      <c r="X111" s="26">
        <f>V111/W111</f>
        <v>0.54761904761904767</v>
      </c>
      <c r="Y111" s="26">
        <f>H111/(H111+I111)</f>
        <v>0.53846153846153844</v>
      </c>
      <c r="Z111" s="26">
        <f>J111/(J111+K111)</f>
        <v>0.6</v>
      </c>
      <c r="AA111" s="26" t="e">
        <f>L112/(L112+M112)</f>
        <v>#DIV/0!</v>
      </c>
      <c r="AB111" s="26">
        <f>N111/(N111+O111)</f>
        <v>0.66666666666666663</v>
      </c>
      <c r="AC111" s="26" t="e">
        <f>P111/(P111+Q111)</f>
        <v>#DIV/0!</v>
      </c>
      <c r="AD111" s="26">
        <f>V111/W111</f>
        <v>0.54761904761904767</v>
      </c>
    </row>
    <row r="112" spans="1:30" x14ac:dyDescent="0.2">
      <c r="A112" s="9" t="s">
        <v>192</v>
      </c>
      <c r="B112" s="10" t="s">
        <v>438</v>
      </c>
      <c r="C112" s="11" t="s">
        <v>373</v>
      </c>
      <c r="D112" s="11" t="s">
        <v>464</v>
      </c>
      <c r="E112" s="11" t="s">
        <v>460</v>
      </c>
      <c r="F112" s="11" t="s">
        <v>337</v>
      </c>
      <c r="G112" s="13">
        <v>3</v>
      </c>
      <c r="H112" s="16">
        <v>6</v>
      </c>
      <c r="I112" s="16">
        <v>3</v>
      </c>
      <c r="J112" s="16">
        <v>6</v>
      </c>
      <c r="K112" s="16">
        <v>2</v>
      </c>
      <c r="L112" s="16"/>
      <c r="M112" s="16"/>
      <c r="N112" s="16"/>
      <c r="O112" s="16"/>
      <c r="P112" s="16"/>
      <c r="Q112" s="16"/>
      <c r="R112" s="11" t="s">
        <v>390</v>
      </c>
      <c r="S112" s="11" t="s">
        <v>560</v>
      </c>
      <c r="T112" s="11" t="s">
        <v>455</v>
      </c>
      <c r="U112" s="13">
        <v>8</v>
      </c>
      <c r="V112" s="15">
        <f>H112+J112+L112+N112+P112</f>
        <v>12</v>
      </c>
      <c r="W112" s="15">
        <f>H112+I112+J112+K112+L112+M112+N112+O112+P112+Q112</f>
        <v>17</v>
      </c>
      <c r="X112" s="26">
        <f>V112/W112</f>
        <v>0.70588235294117652</v>
      </c>
      <c r="Y112" s="26">
        <f>H112/(H112+I112)</f>
        <v>0.66666666666666663</v>
      </c>
      <c r="Z112" s="26">
        <f>J112/(J112+K112)</f>
        <v>0.75</v>
      </c>
      <c r="AA112" s="26">
        <f>L113/(L113+M113)</f>
        <v>0.6</v>
      </c>
      <c r="AB112" s="26" t="e">
        <f>N112/(N112+O112)</f>
        <v>#DIV/0!</v>
      </c>
      <c r="AC112" s="26" t="e">
        <f>P112/(P112+Q112)</f>
        <v>#DIV/0!</v>
      </c>
      <c r="AD112" s="26">
        <f>V112/W112</f>
        <v>0.70588235294117652</v>
      </c>
    </row>
    <row r="113" spans="1:30" x14ac:dyDescent="0.2">
      <c r="A113" s="14" t="s">
        <v>192</v>
      </c>
      <c r="B113" s="10" t="s">
        <v>305</v>
      </c>
      <c r="C113" s="10" t="s">
        <v>186</v>
      </c>
      <c r="D113" s="10" t="s">
        <v>464</v>
      </c>
      <c r="E113" s="10" t="s">
        <v>460</v>
      </c>
      <c r="F113" s="10" t="s">
        <v>508</v>
      </c>
      <c r="G113" s="16">
        <v>2</v>
      </c>
      <c r="H113" s="16">
        <v>7</v>
      </c>
      <c r="I113" s="16">
        <v>5</v>
      </c>
      <c r="J113" s="16">
        <v>3</v>
      </c>
      <c r="K113" s="16">
        <v>6</v>
      </c>
      <c r="L113" s="16">
        <v>6</v>
      </c>
      <c r="M113" s="16">
        <v>4</v>
      </c>
      <c r="N113" s="16">
        <v>7</v>
      </c>
      <c r="O113" s="16">
        <v>6</v>
      </c>
      <c r="P113" s="16"/>
      <c r="Q113" s="16"/>
      <c r="R113" s="10" t="s">
        <v>190</v>
      </c>
      <c r="S113" s="10" t="s">
        <v>467</v>
      </c>
      <c r="T113" s="10" t="s">
        <v>442</v>
      </c>
      <c r="U113" s="16">
        <v>1</v>
      </c>
      <c r="V113" s="15">
        <f>H113+J113+L113+N113+P113</f>
        <v>23</v>
      </c>
      <c r="W113" s="15">
        <f>H113+I113+J113+K113+L113+M113+N113+O113+P113+Q113</f>
        <v>44</v>
      </c>
      <c r="X113" s="26">
        <f>V113/W113</f>
        <v>0.52272727272727271</v>
      </c>
      <c r="Y113" s="26">
        <f>H113/(H113+I113)</f>
        <v>0.58333333333333337</v>
      </c>
      <c r="Z113" s="26">
        <f>J113/(J113+K113)</f>
        <v>0.33333333333333331</v>
      </c>
      <c r="AA113" s="26" t="e">
        <f>L114/(L114+M114)</f>
        <v>#DIV/0!</v>
      </c>
      <c r="AB113" s="26">
        <f>N113/(N113+O113)</f>
        <v>0.53846153846153844</v>
      </c>
      <c r="AC113" s="26" t="e">
        <f>P113/(P113+Q113)</f>
        <v>#DIV/0!</v>
      </c>
      <c r="AD113" s="26">
        <f>V113/W113</f>
        <v>0.52272727272727271</v>
      </c>
    </row>
    <row r="114" spans="1:30" x14ac:dyDescent="0.2">
      <c r="A114" s="14" t="s">
        <v>193</v>
      </c>
      <c r="B114" s="10" t="s">
        <v>438</v>
      </c>
      <c r="C114" s="10" t="s">
        <v>373</v>
      </c>
      <c r="D114" s="10" t="s">
        <v>464</v>
      </c>
      <c r="E114" s="10" t="s">
        <v>460</v>
      </c>
      <c r="F114" s="10" t="s">
        <v>364</v>
      </c>
      <c r="G114" s="16">
        <v>1</v>
      </c>
      <c r="H114" s="13">
        <v>6</v>
      </c>
      <c r="I114" s="13">
        <v>2</v>
      </c>
      <c r="J114" s="13">
        <v>6</v>
      </c>
      <c r="K114" s="13">
        <v>2</v>
      </c>
      <c r="L114" s="13"/>
      <c r="M114" s="13"/>
      <c r="N114" s="13"/>
      <c r="O114" s="13"/>
      <c r="P114" s="13"/>
      <c r="Q114" s="13"/>
      <c r="R114" s="10" t="s">
        <v>377</v>
      </c>
      <c r="S114" s="10" t="s">
        <v>560</v>
      </c>
      <c r="T114" s="10" t="s">
        <v>455</v>
      </c>
      <c r="U114" s="16">
        <v>5</v>
      </c>
      <c r="V114" s="15">
        <f>H114+J114+L114+N114+P114</f>
        <v>12</v>
      </c>
      <c r="W114" s="15">
        <f>H114+I114+J114+K114+L114+M114+N114+O114+P114+Q114</f>
        <v>16</v>
      </c>
      <c r="X114" s="26">
        <f>V114/W114</f>
        <v>0.75</v>
      </c>
      <c r="Y114" s="26">
        <f>H114/(H114+I114)</f>
        <v>0.75</v>
      </c>
      <c r="Z114" s="26">
        <f>J114/(J114+K114)</f>
        <v>0.75</v>
      </c>
      <c r="AA114" s="26">
        <f>L115/(L115+M115)</f>
        <v>0.53846153846153844</v>
      </c>
      <c r="AB114" s="26" t="e">
        <f>N114/(N114+O114)</f>
        <v>#DIV/0!</v>
      </c>
      <c r="AC114" s="26" t="e">
        <f>P114/(P114+Q114)</f>
        <v>#DIV/0!</v>
      </c>
      <c r="AD114" s="26">
        <f>V114/W114</f>
        <v>0.75</v>
      </c>
    </row>
    <row r="115" spans="1:30" x14ac:dyDescent="0.2">
      <c r="A115" s="9" t="s">
        <v>193</v>
      </c>
      <c r="B115" s="10" t="s">
        <v>305</v>
      </c>
      <c r="C115" s="11" t="s">
        <v>194</v>
      </c>
      <c r="D115" s="11" t="s">
        <v>464</v>
      </c>
      <c r="E115" s="11" t="s">
        <v>460</v>
      </c>
      <c r="F115" s="11" t="s">
        <v>195</v>
      </c>
      <c r="G115" s="13">
        <v>0</v>
      </c>
      <c r="H115" s="13">
        <v>6</v>
      </c>
      <c r="I115" s="13">
        <v>7</v>
      </c>
      <c r="J115" s="13">
        <v>6</v>
      </c>
      <c r="K115" s="13">
        <v>3</v>
      </c>
      <c r="L115" s="13">
        <v>7</v>
      </c>
      <c r="M115" s="13">
        <v>6</v>
      </c>
      <c r="N115" s="13">
        <v>6</v>
      </c>
      <c r="O115" s="13">
        <v>1</v>
      </c>
      <c r="P115" s="13"/>
      <c r="Q115" s="13"/>
      <c r="R115" s="11" t="s">
        <v>186</v>
      </c>
      <c r="S115" s="11" t="s">
        <v>464</v>
      </c>
      <c r="T115" s="11" t="s">
        <v>460</v>
      </c>
      <c r="U115" s="13">
        <v>2</v>
      </c>
      <c r="V115" s="15">
        <f>H115+J115+L115+N115+P115</f>
        <v>25</v>
      </c>
      <c r="W115" s="15">
        <f>H115+I115+J115+K115+L115+M115+N115+O115+P115+Q115</f>
        <v>42</v>
      </c>
      <c r="X115" s="26">
        <f>V115/W115</f>
        <v>0.59523809523809523</v>
      </c>
      <c r="Y115" s="26">
        <f>H115/(H115+I115)</f>
        <v>0.46153846153846156</v>
      </c>
      <c r="Z115" s="26">
        <f>J115/(J115+K115)</f>
        <v>0.66666666666666663</v>
      </c>
      <c r="AA115" s="26" t="e">
        <f>L116/(L116+M116)</f>
        <v>#DIV/0!</v>
      </c>
      <c r="AB115" s="26">
        <f>N115/(N115+O115)</f>
        <v>0.8571428571428571</v>
      </c>
      <c r="AC115" s="26" t="e">
        <f>P115/(P115+Q115)</f>
        <v>#DIV/0!</v>
      </c>
      <c r="AD115" s="26">
        <f>V115/W115</f>
        <v>0.59523809523809523</v>
      </c>
    </row>
    <row r="116" spans="1:30" x14ac:dyDescent="0.2">
      <c r="A116" s="9" t="s">
        <v>201</v>
      </c>
      <c r="B116" s="10" t="s">
        <v>438</v>
      </c>
      <c r="C116" s="11" t="s">
        <v>382</v>
      </c>
      <c r="D116" s="11" t="s">
        <v>464</v>
      </c>
      <c r="E116" s="11" t="s">
        <v>460</v>
      </c>
      <c r="F116" s="11" t="s">
        <v>533</v>
      </c>
      <c r="G116" s="13">
        <v>0</v>
      </c>
      <c r="H116" s="16">
        <v>6</v>
      </c>
      <c r="I116" s="16">
        <v>3</v>
      </c>
      <c r="J116" s="16">
        <v>7</v>
      </c>
      <c r="K116" s="16">
        <v>6</v>
      </c>
      <c r="L116" s="16"/>
      <c r="M116" s="16"/>
      <c r="N116" s="16"/>
      <c r="O116" s="16"/>
      <c r="P116" s="16"/>
      <c r="Q116" s="16"/>
      <c r="R116" s="11" t="s">
        <v>383</v>
      </c>
      <c r="S116" s="11" t="s">
        <v>467</v>
      </c>
      <c r="T116" s="11" t="s">
        <v>442</v>
      </c>
      <c r="U116" s="13">
        <v>8</v>
      </c>
      <c r="V116" s="15">
        <f>H116+J116+L116+N116+P116</f>
        <v>13</v>
      </c>
      <c r="W116" s="15">
        <f>H116+I116+J116+K116+L116+M116+N116+O116+P116+Q116</f>
        <v>22</v>
      </c>
      <c r="X116" s="26">
        <f>V116/W116</f>
        <v>0.59090909090909094</v>
      </c>
      <c r="Y116" s="26">
        <f>H116/(H116+I116)</f>
        <v>0.66666666666666663</v>
      </c>
      <c r="Z116" s="26">
        <f>J116/(J116+K116)</f>
        <v>0.53846153846153844</v>
      </c>
      <c r="AA116" s="26">
        <f>L117/(L117+M117)</f>
        <v>0.33333333333333331</v>
      </c>
      <c r="AB116" s="26" t="e">
        <f>N116/(N116+O116)</f>
        <v>#DIV/0!</v>
      </c>
      <c r="AC116" s="26" t="e">
        <f>P116/(P116+Q116)</f>
        <v>#DIV/0!</v>
      </c>
      <c r="AD116" s="26">
        <f>V116/W116</f>
        <v>0.59090909090909094</v>
      </c>
    </row>
    <row r="117" spans="1:30" x14ac:dyDescent="0.2">
      <c r="A117" s="14" t="s">
        <v>201</v>
      </c>
      <c r="B117" s="10" t="s">
        <v>305</v>
      </c>
      <c r="C117" s="10" t="s">
        <v>197</v>
      </c>
      <c r="D117" s="10" t="s">
        <v>479</v>
      </c>
      <c r="E117" s="10" t="s">
        <v>461</v>
      </c>
      <c r="F117" s="10" t="s">
        <v>203</v>
      </c>
      <c r="G117" s="16">
        <v>1</v>
      </c>
      <c r="H117" s="16">
        <v>6</v>
      </c>
      <c r="I117" s="16">
        <v>4</v>
      </c>
      <c r="J117" s="16">
        <v>6</v>
      </c>
      <c r="K117" s="16">
        <v>4</v>
      </c>
      <c r="L117" s="16">
        <v>3</v>
      </c>
      <c r="M117" s="16">
        <v>6</v>
      </c>
      <c r="N117" s="16">
        <v>6</v>
      </c>
      <c r="O117" s="16">
        <v>3</v>
      </c>
      <c r="P117" s="16"/>
      <c r="Q117" s="16"/>
      <c r="R117" s="10" t="s">
        <v>202</v>
      </c>
      <c r="S117" s="10" t="s">
        <v>464</v>
      </c>
      <c r="T117" s="10" t="s">
        <v>460</v>
      </c>
      <c r="U117" s="16" t="s">
        <v>563</v>
      </c>
      <c r="V117" s="15">
        <f>H117+J117+L117+N117+P117</f>
        <v>21</v>
      </c>
      <c r="W117" s="15">
        <f>H117+I117+J117+K117+L117+M117+N117+O117+P117+Q117</f>
        <v>38</v>
      </c>
      <c r="X117" s="26">
        <f>V117/W117</f>
        <v>0.55263157894736847</v>
      </c>
      <c r="Y117" s="26">
        <f>H117/(H117+I117)</f>
        <v>0.6</v>
      </c>
      <c r="Z117" s="26">
        <f>J117/(J117+K117)</f>
        <v>0.6</v>
      </c>
      <c r="AA117" s="26" t="e">
        <f>L118/(L118+M118)</f>
        <v>#DIV/0!</v>
      </c>
      <c r="AB117" s="26">
        <f>N117/(N117+O117)</f>
        <v>0.66666666666666663</v>
      </c>
      <c r="AC117" s="26" t="e">
        <f>P117/(P117+Q117)</f>
        <v>#DIV/0!</v>
      </c>
      <c r="AD117" s="26">
        <f>V117/W117</f>
        <v>0.55263157894736847</v>
      </c>
    </row>
    <row r="118" spans="1:30" x14ac:dyDescent="0.2">
      <c r="A118" s="14" t="s">
        <v>204</v>
      </c>
      <c r="B118" s="10" t="s">
        <v>438</v>
      </c>
      <c r="C118" s="10" t="s">
        <v>384</v>
      </c>
      <c r="D118" s="10" t="s">
        <v>467</v>
      </c>
      <c r="E118" s="18" t="s">
        <v>442</v>
      </c>
      <c r="F118" s="10" t="s">
        <v>386</v>
      </c>
      <c r="G118" s="16">
        <v>5</v>
      </c>
      <c r="H118" s="13">
        <v>6</v>
      </c>
      <c r="I118" s="13">
        <v>3</v>
      </c>
      <c r="J118" s="13">
        <v>6</v>
      </c>
      <c r="K118" s="13">
        <v>3</v>
      </c>
      <c r="L118" s="13"/>
      <c r="M118" s="13"/>
      <c r="N118" s="13"/>
      <c r="O118" s="13"/>
      <c r="P118" s="13"/>
      <c r="Q118" s="13"/>
      <c r="R118" s="10" t="s">
        <v>385</v>
      </c>
      <c r="S118" s="10" t="s">
        <v>467</v>
      </c>
      <c r="T118" s="10" t="s">
        <v>442</v>
      </c>
      <c r="U118" s="16">
        <v>4</v>
      </c>
      <c r="V118" s="15">
        <f>H118+J118+L118+N118+P118</f>
        <v>12</v>
      </c>
      <c r="W118" s="15">
        <f>H118+I118+J118+K118+L118+M118+N118+O118+P118+Q118</f>
        <v>18</v>
      </c>
      <c r="X118" s="26">
        <f>V118/W118</f>
        <v>0.66666666666666663</v>
      </c>
      <c r="Y118" s="26">
        <f>H118/(H118+I118)</f>
        <v>0.66666666666666663</v>
      </c>
      <c r="Z118" s="26">
        <f>J118/(J118+K118)</f>
        <v>0.66666666666666663</v>
      </c>
      <c r="AA118" s="26">
        <f>L119/(L119+M119)</f>
        <v>0.75</v>
      </c>
      <c r="AB118" s="26" t="e">
        <f>N118/(N118+O118)</f>
        <v>#DIV/0!</v>
      </c>
      <c r="AC118" s="26" t="e">
        <f>P118/(P118+Q118)</f>
        <v>#DIV/0!</v>
      </c>
      <c r="AD118" s="26">
        <f>V118/W118</f>
        <v>0.66666666666666663</v>
      </c>
    </row>
    <row r="119" spans="1:30" x14ac:dyDescent="0.2">
      <c r="A119" s="9" t="s">
        <v>204</v>
      </c>
      <c r="B119" s="10" t="s">
        <v>305</v>
      </c>
      <c r="C119" s="11" t="s">
        <v>197</v>
      </c>
      <c r="D119" s="11" t="s">
        <v>479</v>
      </c>
      <c r="E119" s="11" t="s">
        <v>461</v>
      </c>
      <c r="F119" s="11" t="s">
        <v>510</v>
      </c>
      <c r="G119" s="13">
        <v>1</v>
      </c>
      <c r="H119" s="13">
        <v>7</v>
      </c>
      <c r="I119" s="13">
        <v>6</v>
      </c>
      <c r="J119" s="13">
        <v>6</v>
      </c>
      <c r="K119" s="13">
        <v>3</v>
      </c>
      <c r="L119" s="13">
        <v>6</v>
      </c>
      <c r="M119" s="13">
        <v>2</v>
      </c>
      <c r="N119" s="13"/>
      <c r="O119" s="13"/>
      <c r="P119" s="13"/>
      <c r="Q119" s="13"/>
      <c r="R119" s="11" t="s">
        <v>205</v>
      </c>
      <c r="S119" s="11" t="s">
        <v>467</v>
      </c>
      <c r="T119" s="11" t="s">
        <v>442</v>
      </c>
      <c r="U119" s="13">
        <v>6</v>
      </c>
      <c r="V119" s="15">
        <f>H119+J119+L119+N119+P119</f>
        <v>19</v>
      </c>
      <c r="W119" s="15">
        <f>H119+I119+J119+K119+L119+M119+N119+O119+P119+Q119</f>
        <v>30</v>
      </c>
      <c r="X119" s="26">
        <f>V119/W119</f>
        <v>0.6333333333333333</v>
      </c>
      <c r="Y119" s="26">
        <f>H119/(H119+I119)</f>
        <v>0.53846153846153844</v>
      </c>
      <c r="Z119" s="26">
        <f>J119/(J119+K119)</f>
        <v>0.66666666666666663</v>
      </c>
      <c r="AA119" s="26" t="e">
        <f>L120/(L120+M120)</f>
        <v>#DIV/0!</v>
      </c>
      <c r="AB119" s="26" t="e">
        <f>N119/(N119+O119)</f>
        <v>#DIV/0!</v>
      </c>
      <c r="AC119" s="26" t="e">
        <f>P119/(P119+Q119)</f>
        <v>#DIV/0!</v>
      </c>
      <c r="AD119" s="26">
        <f>V119/W119</f>
        <v>0.6333333333333333</v>
      </c>
    </row>
    <row r="120" spans="1:30" x14ac:dyDescent="0.2">
      <c r="A120" s="9" t="s">
        <v>206</v>
      </c>
      <c r="B120" s="10" t="s">
        <v>438</v>
      </c>
      <c r="C120" s="11" t="s">
        <v>387</v>
      </c>
      <c r="D120" s="11" t="s">
        <v>560</v>
      </c>
      <c r="E120" s="11" t="s">
        <v>455</v>
      </c>
      <c r="F120" s="11" t="s">
        <v>389</v>
      </c>
      <c r="G120" s="13">
        <v>3</v>
      </c>
      <c r="H120" s="16">
        <v>6</v>
      </c>
      <c r="I120" s="16">
        <v>0</v>
      </c>
      <c r="J120" s="16">
        <v>7</v>
      </c>
      <c r="K120" s="16">
        <v>5</v>
      </c>
      <c r="L120" s="16"/>
      <c r="M120" s="16"/>
      <c r="N120" s="16"/>
      <c r="O120" s="16"/>
      <c r="P120" s="16"/>
      <c r="Q120" s="16"/>
      <c r="R120" s="11" t="s">
        <v>388</v>
      </c>
      <c r="S120" s="11" t="s">
        <v>464</v>
      </c>
      <c r="T120" s="11" t="s">
        <v>460</v>
      </c>
      <c r="U120" s="13">
        <v>4</v>
      </c>
      <c r="V120" s="15">
        <f>H120+J120+L120+N120+P120</f>
        <v>13</v>
      </c>
      <c r="W120" s="15">
        <f>H120+I120+J120+K120+L120+M120+N120+O120+P120+Q120</f>
        <v>18</v>
      </c>
      <c r="X120" s="26">
        <f>V120/W120</f>
        <v>0.72222222222222221</v>
      </c>
      <c r="Y120" s="26">
        <f>H120/(H120+I120)</f>
        <v>1</v>
      </c>
      <c r="Z120" s="26">
        <f>J120/(J120+K120)</f>
        <v>0.58333333333333337</v>
      </c>
      <c r="AA120" s="26">
        <f>L121/(L121+M121)</f>
        <v>0.75</v>
      </c>
      <c r="AB120" s="26" t="e">
        <f>N120/(N120+O120)</f>
        <v>#DIV/0!</v>
      </c>
      <c r="AC120" s="26" t="e">
        <f>P120/(P120+Q120)</f>
        <v>#DIV/0!</v>
      </c>
      <c r="AD120" s="26">
        <f>V120/W120</f>
        <v>0.72222222222222221</v>
      </c>
    </row>
    <row r="121" spans="1:30" x14ac:dyDescent="0.2">
      <c r="A121" s="14" t="s">
        <v>206</v>
      </c>
      <c r="B121" s="10" t="s">
        <v>305</v>
      </c>
      <c r="C121" s="10" t="s">
        <v>207</v>
      </c>
      <c r="D121" s="10" t="s">
        <v>467</v>
      </c>
      <c r="E121" s="18" t="s">
        <v>442</v>
      </c>
      <c r="F121" s="10" t="s">
        <v>511</v>
      </c>
      <c r="G121" s="16">
        <v>8</v>
      </c>
      <c r="H121" s="16">
        <v>7</v>
      </c>
      <c r="I121" s="16">
        <v>5</v>
      </c>
      <c r="J121" s="16">
        <v>7</v>
      </c>
      <c r="K121" s="16">
        <v>6</v>
      </c>
      <c r="L121" s="16">
        <v>6</v>
      </c>
      <c r="M121" s="16">
        <v>2</v>
      </c>
      <c r="N121" s="16"/>
      <c r="O121" s="16"/>
      <c r="P121" s="16"/>
      <c r="Q121" s="16"/>
      <c r="R121" s="10" t="s">
        <v>208</v>
      </c>
      <c r="S121" s="10" t="s">
        <v>464</v>
      </c>
      <c r="T121" s="10" t="s">
        <v>460</v>
      </c>
      <c r="U121" s="16">
        <v>14</v>
      </c>
      <c r="V121" s="15">
        <f>H121+J121+L121+N121+P121</f>
        <v>20</v>
      </c>
      <c r="W121" s="15">
        <f>H121+I121+J121+K121+L121+M121+N121+O121+P121+Q121</f>
        <v>33</v>
      </c>
      <c r="X121" s="26">
        <f>V121/W121</f>
        <v>0.60606060606060608</v>
      </c>
      <c r="Y121" s="26">
        <f>H121/(H121+I121)</f>
        <v>0.58333333333333337</v>
      </c>
      <c r="Z121" s="26">
        <f>J121/(J121+K121)</f>
        <v>0.53846153846153844</v>
      </c>
      <c r="AA121" s="26">
        <f>L122/(L122+M122)</f>
        <v>0.58333333333333337</v>
      </c>
      <c r="AB121" s="26" t="e">
        <f>N121/(N121+O121)</f>
        <v>#DIV/0!</v>
      </c>
      <c r="AC121" s="26" t="e">
        <f>P121/(P121+Q121)</f>
        <v>#DIV/0!</v>
      </c>
      <c r="AD121" s="26">
        <f>V121/W121</f>
        <v>0.60606060606060608</v>
      </c>
    </row>
    <row r="122" spans="1:30" x14ac:dyDescent="0.2">
      <c r="A122" s="14" t="s">
        <v>209</v>
      </c>
      <c r="B122" s="10" t="s">
        <v>438</v>
      </c>
      <c r="C122" s="10" t="s">
        <v>390</v>
      </c>
      <c r="D122" s="10" t="s">
        <v>467</v>
      </c>
      <c r="E122" s="18" t="s">
        <v>442</v>
      </c>
      <c r="F122" s="10" t="s">
        <v>534</v>
      </c>
      <c r="G122" s="16">
        <v>3</v>
      </c>
      <c r="H122" s="13">
        <v>6</v>
      </c>
      <c r="I122" s="13">
        <v>7</v>
      </c>
      <c r="J122" s="13">
        <v>6</v>
      </c>
      <c r="K122" s="13">
        <v>4</v>
      </c>
      <c r="L122" s="13">
        <v>7</v>
      </c>
      <c r="M122" s="13">
        <v>5</v>
      </c>
      <c r="N122" s="13"/>
      <c r="O122" s="13"/>
      <c r="P122" s="13"/>
      <c r="Q122" s="13"/>
      <c r="R122" s="10" t="s">
        <v>376</v>
      </c>
      <c r="S122" s="10" t="s">
        <v>467</v>
      </c>
      <c r="T122" s="10" t="s">
        <v>442</v>
      </c>
      <c r="U122" s="16">
        <v>1</v>
      </c>
      <c r="V122" s="15">
        <f>H122+J122+L122+N122+P122</f>
        <v>19</v>
      </c>
      <c r="W122" s="15">
        <f>H122+I122+J122+K122+L122+M122+N122+O122+P122+Q122</f>
        <v>35</v>
      </c>
      <c r="X122" s="26">
        <f>V122/W122</f>
        <v>0.54285714285714282</v>
      </c>
      <c r="Y122" s="26">
        <f>H122/(H122+I122)</f>
        <v>0.46153846153846156</v>
      </c>
      <c r="Z122" s="26">
        <f>J122/(J122+K122)</f>
        <v>0.6</v>
      </c>
      <c r="AA122" s="26">
        <f>L123/(L123+M123)</f>
        <v>0.46153846153846156</v>
      </c>
      <c r="AB122" s="26" t="e">
        <f>N122/(N122+O122)</f>
        <v>#DIV/0!</v>
      </c>
      <c r="AC122" s="26" t="e">
        <f>P122/(P122+Q122)</f>
        <v>#DIV/0!</v>
      </c>
      <c r="AD122" s="26">
        <f>V122/W122</f>
        <v>0.54285714285714282</v>
      </c>
    </row>
    <row r="123" spans="1:30" x14ac:dyDescent="0.2">
      <c r="A123" s="9" t="s">
        <v>209</v>
      </c>
      <c r="B123" s="10" t="s">
        <v>305</v>
      </c>
      <c r="C123" s="11" t="s">
        <v>210</v>
      </c>
      <c r="D123" s="11" t="s">
        <v>478</v>
      </c>
      <c r="E123" s="11" t="s">
        <v>446</v>
      </c>
      <c r="F123" s="11" t="s">
        <v>512</v>
      </c>
      <c r="G123" s="13">
        <v>4</v>
      </c>
      <c r="H123" s="13">
        <v>6</v>
      </c>
      <c r="I123" s="13">
        <v>2</v>
      </c>
      <c r="J123" s="13">
        <v>7</v>
      </c>
      <c r="K123" s="13">
        <v>6</v>
      </c>
      <c r="L123" s="13">
        <v>6</v>
      </c>
      <c r="M123" s="13">
        <v>7</v>
      </c>
      <c r="N123" s="13">
        <v>6</v>
      </c>
      <c r="O123" s="13">
        <v>4</v>
      </c>
      <c r="P123" s="13"/>
      <c r="Q123" s="13"/>
      <c r="R123" s="11" t="s">
        <v>211</v>
      </c>
      <c r="S123" s="11" t="s">
        <v>467</v>
      </c>
      <c r="T123" s="11" t="s">
        <v>442</v>
      </c>
      <c r="U123" s="13" t="s">
        <v>563</v>
      </c>
      <c r="V123" s="15">
        <f>H123+J123+L123+N123+P123</f>
        <v>25</v>
      </c>
      <c r="W123" s="15">
        <f>H123+I123+J123+K123+L123+M123+N123+O123+P123+Q123</f>
        <v>44</v>
      </c>
      <c r="X123" s="26">
        <f>V123/W123</f>
        <v>0.56818181818181823</v>
      </c>
      <c r="Y123" s="26">
        <f>H123/(H123+I123)</f>
        <v>0.75</v>
      </c>
      <c r="Z123" s="26">
        <f>J123/(J123+K123)</f>
        <v>0.53846153846153844</v>
      </c>
      <c r="AA123" s="26">
        <f>L124/(L124+M124)</f>
        <v>0.66666666666666663</v>
      </c>
      <c r="AB123" s="26">
        <f>N123/(N123+O123)</f>
        <v>0.6</v>
      </c>
      <c r="AC123" s="26" t="e">
        <f>P123/(P123+Q123)</f>
        <v>#DIV/0!</v>
      </c>
      <c r="AD123" s="26">
        <f>V123/W123</f>
        <v>0.56818181818181823</v>
      </c>
    </row>
    <row r="124" spans="1:30" x14ac:dyDescent="0.2">
      <c r="A124" s="9" t="s">
        <v>212</v>
      </c>
      <c r="B124" s="10" t="s">
        <v>438</v>
      </c>
      <c r="C124" s="11" t="s">
        <v>376</v>
      </c>
      <c r="D124" s="11" t="s">
        <v>467</v>
      </c>
      <c r="E124" s="11" t="s">
        <v>442</v>
      </c>
      <c r="F124" s="11" t="s">
        <v>391</v>
      </c>
      <c r="G124" s="13">
        <v>2</v>
      </c>
      <c r="H124" s="16">
        <v>6</v>
      </c>
      <c r="I124" s="16">
        <v>3</v>
      </c>
      <c r="J124" s="16">
        <v>2</v>
      </c>
      <c r="K124" s="16">
        <v>6</v>
      </c>
      <c r="L124" s="16">
        <v>6</v>
      </c>
      <c r="M124" s="16">
        <v>3</v>
      </c>
      <c r="N124" s="16"/>
      <c r="O124" s="16"/>
      <c r="P124" s="16"/>
      <c r="Q124" s="16"/>
      <c r="R124" s="11" t="s">
        <v>390</v>
      </c>
      <c r="S124" s="11" t="s">
        <v>467</v>
      </c>
      <c r="T124" s="11" t="s">
        <v>442</v>
      </c>
      <c r="U124" s="13">
        <v>1</v>
      </c>
      <c r="V124" s="15">
        <f>H124+J124+L124+N124+P124</f>
        <v>14</v>
      </c>
      <c r="W124" s="15">
        <f>H124+I124+J124+K124+L124+M124+N124+O124+P124+Q124</f>
        <v>26</v>
      </c>
      <c r="X124" s="26">
        <f>V124/W124</f>
        <v>0.53846153846153844</v>
      </c>
      <c r="Y124" s="26">
        <f>H124/(H124+I124)</f>
        <v>0.66666666666666663</v>
      </c>
      <c r="Z124" s="26">
        <f>J124/(J124+K124)</f>
        <v>0.25</v>
      </c>
      <c r="AA124" s="26">
        <f>L125/(L125+M125)</f>
        <v>0.75</v>
      </c>
      <c r="AB124" s="26" t="e">
        <f>N124/(N124+O124)</f>
        <v>#DIV/0!</v>
      </c>
      <c r="AC124" s="26" t="e">
        <f>P124/(P124+Q124)</f>
        <v>#DIV/0!</v>
      </c>
      <c r="AD124" s="26">
        <f>V124/W124</f>
        <v>0.53846153846153844</v>
      </c>
    </row>
    <row r="125" spans="1:30" x14ac:dyDescent="0.2">
      <c r="A125" s="14" t="s">
        <v>212</v>
      </c>
      <c r="B125" s="10" t="s">
        <v>305</v>
      </c>
      <c r="C125" s="10" t="s">
        <v>210</v>
      </c>
      <c r="D125" s="10" t="s">
        <v>467</v>
      </c>
      <c r="E125" s="18" t="s">
        <v>442</v>
      </c>
      <c r="F125" s="10" t="s">
        <v>213</v>
      </c>
      <c r="G125" s="16">
        <v>1</v>
      </c>
      <c r="H125" s="16">
        <v>6</v>
      </c>
      <c r="I125" s="16">
        <v>3</v>
      </c>
      <c r="J125" s="16">
        <v>6</v>
      </c>
      <c r="K125" s="16">
        <v>3</v>
      </c>
      <c r="L125" s="16">
        <v>6</v>
      </c>
      <c r="M125" s="16">
        <v>2</v>
      </c>
      <c r="N125" s="16"/>
      <c r="O125" s="16"/>
      <c r="P125" s="16"/>
      <c r="Q125" s="16"/>
      <c r="R125" s="10" t="s">
        <v>211</v>
      </c>
      <c r="S125" s="10" t="s">
        <v>467</v>
      </c>
      <c r="T125" s="10" t="s">
        <v>442</v>
      </c>
      <c r="U125" s="16">
        <v>2</v>
      </c>
      <c r="V125" s="15">
        <f>H125+J125+L125+N125+P125</f>
        <v>18</v>
      </c>
      <c r="W125" s="15">
        <f>H125+I125+J125+K125+L125+M125+N125+O125+P125+Q125</f>
        <v>26</v>
      </c>
      <c r="X125" s="26">
        <f>V125/W125</f>
        <v>0.69230769230769229</v>
      </c>
      <c r="Y125" s="26">
        <f>H125/(H125+I125)</f>
        <v>0.66666666666666663</v>
      </c>
      <c r="Z125" s="26">
        <f>J125/(J125+K125)</f>
        <v>0.66666666666666663</v>
      </c>
      <c r="AA125" s="26" t="e">
        <f>L126/(L126+M126)</f>
        <v>#DIV/0!</v>
      </c>
      <c r="AB125" s="26" t="e">
        <f>N125/(N125+O125)</f>
        <v>#DIV/0!</v>
      </c>
      <c r="AC125" s="26" t="e">
        <f>P125/(P125+Q125)</f>
        <v>#DIV/0!</v>
      </c>
      <c r="AD125" s="26">
        <f>V125/W125</f>
        <v>0.69230769230769229</v>
      </c>
    </row>
    <row r="126" spans="1:30" x14ac:dyDescent="0.2">
      <c r="A126" s="14" t="s">
        <v>214</v>
      </c>
      <c r="B126" s="10" t="s">
        <v>438</v>
      </c>
      <c r="C126" s="10" t="s">
        <v>390</v>
      </c>
      <c r="D126" s="10" t="s">
        <v>467</v>
      </c>
      <c r="E126" s="18" t="s">
        <v>442</v>
      </c>
      <c r="F126" s="10" t="s">
        <v>535</v>
      </c>
      <c r="G126" s="16">
        <v>1</v>
      </c>
      <c r="H126" s="13">
        <v>6</v>
      </c>
      <c r="I126" s="13">
        <v>2</v>
      </c>
      <c r="J126" s="13">
        <v>7</v>
      </c>
      <c r="K126" s="13">
        <v>6</v>
      </c>
      <c r="L126" s="13"/>
      <c r="M126" s="13"/>
      <c r="N126" s="13"/>
      <c r="O126" s="13"/>
      <c r="P126" s="13"/>
      <c r="Q126" s="13"/>
      <c r="R126" s="10" t="s">
        <v>392</v>
      </c>
      <c r="S126" s="10" t="s">
        <v>467</v>
      </c>
      <c r="T126" s="10" t="s">
        <v>442</v>
      </c>
      <c r="U126" s="16">
        <v>9</v>
      </c>
      <c r="V126" s="15">
        <f>H126+J126+L126+N126+P126</f>
        <v>13</v>
      </c>
      <c r="W126" s="15">
        <f>H126+I126+J126+K126+L126+M126+N126+O126+P126+Q126</f>
        <v>21</v>
      </c>
      <c r="X126" s="26">
        <f>V126/W126</f>
        <v>0.61904761904761907</v>
      </c>
      <c r="Y126" s="26">
        <f>H126/(H126+I126)</f>
        <v>0.75</v>
      </c>
      <c r="Z126" s="26">
        <f>J126/(J126+K126)</f>
        <v>0.53846153846153844</v>
      </c>
      <c r="AA126" s="26">
        <f>L127/(L127+M127)</f>
        <v>0.6</v>
      </c>
      <c r="AB126" s="26" t="e">
        <f>N126/(N126+O126)</f>
        <v>#DIV/0!</v>
      </c>
      <c r="AC126" s="26" t="e">
        <f>P126/(P126+Q126)</f>
        <v>#DIV/0!</v>
      </c>
      <c r="AD126" s="26">
        <f>V126/W126</f>
        <v>0.61904761904761907</v>
      </c>
    </row>
    <row r="127" spans="1:30" x14ac:dyDescent="0.2">
      <c r="A127" s="9" t="s">
        <v>214</v>
      </c>
      <c r="B127" s="10" t="s">
        <v>305</v>
      </c>
      <c r="C127" s="11" t="s">
        <v>215</v>
      </c>
      <c r="D127" s="11" t="s">
        <v>475</v>
      </c>
      <c r="E127" s="11" t="s">
        <v>443</v>
      </c>
      <c r="F127" s="11" t="s">
        <v>217</v>
      </c>
      <c r="G127" s="13">
        <v>3</v>
      </c>
      <c r="H127" s="13">
        <v>6</v>
      </c>
      <c r="I127" s="13">
        <v>1</v>
      </c>
      <c r="J127" s="13">
        <v>6</v>
      </c>
      <c r="K127" s="13">
        <v>4</v>
      </c>
      <c r="L127" s="13">
        <v>6</v>
      </c>
      <c r="M127" s="13">
        <v>4</v>
      </c>
      <c r="N127" s="13"/>
      <c r="O127" s="13"/>
      <c r="P127" s="13"/>
      <c r="Q127" s="13"/>
      <c r="R127" s="11" t="s">
        <v>216</v>
      </c>
      <c r="S127" s="11" t="s">
        <v>560</v>
      </c>
      <c r="T127" s="11" t="s">
        <v>455</v>
      </c>
      <c r="U127" s="13">
        <v>1</v>
      </c>
      <c r="V127" s="15">
        <f>H127+J127+L127+N127+P127</f>
        <v>18</v>
      </c>
      <c r="W127" s="15">
        <f>H127+I127+J127+K127+L127+M127+N127+O127+P127+Q127</f>
        <v>27</v>
      </c>
      <c r="X127" s="26">
        <f>V127/W127</f>
        <v>0.66666666666666663</v>
      </c>
      <c r="Y127" s="26">
        <f>H127/(H127+I127)</f>
        <v>0.8571428571428571</v>
      </c>
      <c r="Z127" s="26">
        <f>J127/(J127+K127)</f>
        <v>0.6</v>
      </c>
      <c r="AA127" s="26">
        <f>L128/(L128+M128)</f>
        <v>0.66666666666666663</v>
      </c>
      <c r="AB127" s="26" t="e">
        <f>N127/(N127+O127)</f>
        <v>#DIV/0!</v>
      </c>
      <c r="AC127" s="26" t="e">
        <f>P127/(P127+Q127)</f>
        <v>#DIV/0!</v>
      </c>
      <c r="AD127" s="26">
        <f>V127/W127</f>
        <v>0.66666666666666663</v>
      </c>
    </row>
    <row r="128" spans="1:30" x14ac:dyDescent="0.2">
      <c r="A128" s="9" t="s">
        <v>218</v>
      </c>
      <c r="B128" s="10" t="s">
        <v>438</v>
      </c>
      <c r="C128" s="11" t="s">
        <v>376</v>
      </c>
      <c r="D128" s="11" t="s">
        <v>467</v>
      </c>
      <c r="E128" s="11" t="s">
        <v>442</v>
      </c>
      <c r="F128" s="11" t="s">
        <v>536</v>
      </c>
      <c r="G128" s="13">
        <v>2</v>
      </c>
      <c r="H128" s="16">
        <v>6</v>
      </c>
      <c r="I128" s="16">
        <v>7</v>
      </c>
      <c r="J128" s="16">
        <v>6</v>
      </c>
      <c r="K128" s="16">
        <v>1</v>
      </c>
      <c r="L128" s="16">
        <v>6</v>
      </c>
      <c r="M128" s="16">
        <v>3</v>
      </c>
      <c r="N128" s="16"/>
      <c r="O128" s="16"/>
      <c r="P128" s="16"/>
      <c r="Q128" s="16"/>
      <c r="R128" s="11" t="s">
        <v>393</v>
      </c>
      <c r="S128" s="11" t="s">
        <v>560</v>
      </c>
      <c r="T128" s="11" t="s">
        <v>455</v>
      </c>
      <c r="U128" s="13">
        <v>9</v>
      </c>
      <c r="V128" s="15">
        <f>H128+J128+L128+N128+P128</f>
        <v>18</v>
      </c>
      <c r="W128" s="15">
        <f>H128+I128+J128+K128+L128+M128+N128+O128+P128+Q128</f>
        <v>29</v>
      </c>
      <c r="X128" s="26">
        <f>V128/W128</f>
        <v>0.62068965517241381</v>
      </c>
      <c r="Y128" s="26">
        <f>H128/(H128+I128)</f>
        <v>0.46153846153846156</v>
      </c>
      <c r="Z128" s="26">
        <f>J128/(J128+K128)</f>
        <v>0.8571428571428571</v>
      </c>
      <c r="AA128" s="26">
        <f>L129/(L129+M129)</f>
        <v>0.53846153846153844</v>
      </c>
      <c r="AB128" s="26" t="e">
        <f>N128/(N128+O128)</f>
        <v>#DIV/0!</v>
      </c>
      <c r="AC128" s="26" t="e">
        <f>P128/(P128+Q128)</f>
        <v>#DIV/0!</v>
      </c>
      <c r="AD128" s="26">
        <f>V128/W128</f>
        <v>0.62068965517241381</v>
      </c>
    </row>
    <row r="129" spans="1:30" x14ac:dyDescent="0.2">
      <c r="A129" s="14" t="s">
        <v>218</v>
      </c>
      <c r="B129" s="10" t="s">
        <v>305</v>
      </c>
      <c r="C129" s="10" t="s">
        <v>215</v>
      </c>
      <c r="D129" s="10" t="s">
        <v>475</v>
      </c>
      <c r="E129" s="18" t="s">
        <v>443</v>
      </c>
      <c r="F129" s="10" t="s">
        <v>513</v>
      </c>
      <c r="G129" s="16">
        <v>2</v>
      </c>
      <c r="H129" s="16">
        <v>6</v>
      </c>
      <c r="I129" s="16">
        <v>7</v>
      </c>
      <c r="J129" s="16">
        <v>6</v>
      </c>
      <c r="K129" s="16">
        <v>4</v>
      </c>
      <c r="L129" s="16">
        <v>7</v>
      </c>
      <c r="M129" s="16">
        <v>6</v>
      </c>
      <c r="N129" s="16">
        <v>6</v>
      </c>
      <c r="O129" s="16">
        <v>2</v>
      </c>
      <c r="P129" s="16"/>
      <c r="Q129" s="16"/>
      <c r="R129" s="10" t="s">
        <v>219</v>
      </c>
      <c r="S129" s="10" t="s">
        <v>478</v>
      </c>
      <c r="T129" s="10" t="s">
        <v>446</v>
      </c>
      <c r="U129" s="16">
        <v>9</v>
      </c>
      <c r="V129" s="15">
        <f>H129+J129+L129+N129+P129</f>
        <v>25</v>
      </c>
      <c r="W129" s="15">
        <f>H129+I129+J129+K129+L129+M129+N129+O129+P129+Q129</f>
        <v>44</v>
      </c>
      <c r="X129" s="26">
        <f>V129/W129</f>
        <v>0.56818181818181823</v>
      </c>
      <c r="Y129" s="26">
        <f>H129/(H129+I129)</f>
        <v>0.46153846153846156</v>
      </c>
      <c r="Z129" s="26">
        <f>J129/(J129+K129)</f>
        <v>0.6</v>
      </c>
      <c r="AA129" s="26">
        <f>L130/(L130+M130)</f>
        <v>0.75</v>
      </c>
      <c r="AB129" s="26">
        <f>N129/(N129+O129)</f>
        <v>0.75</v>
      </c>
      <c r="AC129" s="26" t="e">
        <f>P129/(P129+Q129)</f>
        <v>#DIV/0!</v>
      </c>
      <c r="AD129" s="26">
        <f>V129/W129</f>
        <v>0.56818181818181823</v>
      </c>
    </row>
    <row r="130" spans="1:30" x14ac:dyDescent="0.2">
      <c r="A130" s="14" t="s">
        <v>220</v>
      </c>
      <c r="B130" s="10" t="s">
        <v>438</v>
      </c>
      <c r="C130" s="10" t="s">
        <v>390</v>
      </c>
      <c r="D130" s="10" t="s">
        <v>467</v>
      </c>
      <c r="E130" s="18" t="s">
        <v>442</v>
      </c>
      <c r="F130" s="10" t="s">
        <v>394</v>
      </c>
      <c r="G130" s="16">
        <v>2</v>
      </c>
      <c r="H130" s="13">
        <v>6</v>
      </c>
      <c r="I130" s="13">
        <v>2</v>
      </c>
      <c r="J130" s="13">
        <v>4</v>
      </c>
      <c r="K130" s="13">
        <v>6</v>
      </c>
      <c r="L130" s="13">
        <v>6</v>
      </c>
      <c r="M130" s="13">
        <v>2</v>
      </c>
      <c r="N130" s="13"/>
      <c r="O130" s="13"/>
      <c r="P130" s="13"/>
      <c r="Q130" s="13"/>
      <c r="R130" s="10" t="s">
        <v>376</v>
      </c>
      <c r="S130" s="10" t="s">
        <v>467</v>
      </c>
      <c r="T130" s="10" t="s">
        <v>442</v>
      </c>
      <c r="U130" s="16">
        <v>1</v>
      </c>
      <c r="V130" s="15">
        <f>H130+J130+L130+N130+P130</f>
        <v>16</v>
      </c>
      <c r="W130" s="15">
        <f>H130+I130+J130+K130+L130+M130+N130+O130+P130+Q130</f>
        <v>26</v>
      </c>
      <c r="X130" s="26">
        <f>V130/W130</f>
        <v>0.61538461538461542</v>
      </c>
      <c r="Y130" s="26">
        <f>H130/(H130+I130)</f>
        <v>0.75</v>
      </c>
      <c r="Z130" s="26">
        <f>J130/(J130+K130)</f>
        <v>0.4</v>
      </c>
      <c r="AA130" s="26">
        <f>L131/(L131+M131)</f>
        <v>0.66666666666666663</v>
      </c>
      <c r="AB130" s="26" t="e">
        <f>N130/(N130+O130)</f>
        <v>#DIV/0!</v>
      </c>
      <c r="AC130" s="26" t="e">
        <f>P130/(P130+Q130)</f>
        <v>#DIV/0!</v>
      </c>
      <c r="AD130" s="26">
        <f>V130/W130</f>
        <v>0.61538461538461542</v>
      </c>
    </row>
    <row r="131" spans="1:30" x14ac:dyDescent="0.2">
      <c r="A131" s="9" t="s">
        <v>220</v>
      </c>
      <c r="B131" s="10" t="s">
        <v>305</v>
      </c>
      <c r="C131" s="11" t="s">
        <v>221</v>
      </c>
      <c r="D131" s="11" t="s">
        <v>475</v>
      </c>
      <c r="E131" s="11" t="s">
        <v>443</v>
      </c>
      <c r="F131" s="11" t="s">
        <v>222</v>
      </c>
      <c r="G131" s="13">
        <v>5</v>
      </c>
      <c r="H131" s="13">
        <v>6</v>
      </c>
      <c r="I131" s="13">
        <v>4</v>
      </c>
      <c r="J131" s="13">
        <v>6</v>
      </c>
      <c r="K131" s="13">
        <v>3</v>
      </c>
      <c r="L131" s="13">
        <v>6</v>
      </c>
      <c r="M131" s="13">
        <v>3</v>
      </c>
      <c r="N131" s="13"/>
      <c r="O131" s="13"/>
      <c r="P131" s="13"/>
      <c r="Q131" s="13"/>
      <c r="R131" s="11" t="s">
        <v>215</v>
      </c>
      <c r="S131" s="11" t="s">
        <v>475</v>
      </c>
      <c r="T131" s="11" t="s">
        <v>443</v>
      </c>
      <c r="U131" s="13">
        <v>3</v>
      </c>
      <c r="V131" s="15">
        <f>H131+J131+L131+N131+P131</f>
        <v>18</v>
      </c>
      <c r="W131" s="15">
        <f>H131+I131+J131+K131+L131+M131+N131+O131+P131+Q131</f>
        <v>28</v>
      </c>
      <c r="X131" s="26">
        <f>V131/W131</f>
        <v>0.6428571428571429</v>
      </c>
      <c r="Y131" s="26">
        <f>H131/(H131+I131)</f>
        <v>0.6</v>
      </c>
      <c r="Z131" s="26">
        <f>J131/(J131+K131)</f>
        <v>0.66666666666666663</v>
      </c>
      <c r="AA131" s="26" t="e">
        <f>L132/(L132+M132)</f>
        <v>#DIV/0!</v>
      </c>
      <c r="AB131" s="26" t="e">
        <f>N131/(N131+O131)</f>
        <v>#DIV/0!</v>
      </c>
      <c r="AC131" s="26" t="e">
        <f>P131/(P131+Q131)</f>
        <v>#DIV/0!</v>
      </c>
      <c r="AD131" s="26">
        <f>V131/W131</f>
        <v>0.6428571428571429</v>
      </c>
    </row>
    <row r="132" spans="1:30" x14ac:dyDescent="0.2">
      <c r="A132" s="14" t="s">
        <v>223</v>
      </c>
      <c r="B132" s="10" t="s">
        <v>438</v>
      </c>
      <c r="C132" s="10" t="s">
        <v>387</v>
      </c>
      <c r="D132" s="10" t="s">
        <v>560</v>
      </c>
      <c r="E132" s="18" t="s">
        <v>455</v>
      </c>
      <c r="F132" s="10" t="s">
        <v>537</v>
      </c>
      <c r="G132" s="16">
        <v>2</v>
      </c>
      <c r="H132" s="16">
        <v>7</v>
      </c>
      <c r="I132" s="16">
        <v>5</v>
      </c>
      <c r="J132" s="16">
        <v>7</v>
      </c>
      <c r="K132" s="16">
        <v>6</v>
      </c>
      <c r="L132" s="16"/>
      <c r="M132" s="16"/>
      <c r="N132" s="16"/>
      <c r="O132" s="16"/>
      <c r="P132" s="16"/>
      <c r="Q132" s="16"/>
      <c r="R132" s="10" t="s">
        <v>390</v>
      </c>
      <c r="S132" s="10" t="s">
        <v>467</v>
      </c>
      <c r="T132" s="10" t="s">
        <v>442</v>
      </c>
      <c r="U132" s="16">
        <v>1</v>
      </c>
      <c r="V132" s="15">
        <f>H132+J132+L132+N132+P132</f>
        <v>14</v>
      </c>
      <c r="W132" s="15">
        <f>H132+I132+J132+K132+L132+M132+N132+O132+P132+Q132</f>
        <v>25</v>
      </c>
      <c r="X132" s="26">
        <f>V132/W132</f>
        <v>0.56000000000000005</v>
      </c>
      <c r="Y132" s="26">
        <f>H132/(H132+I132)</f>
        <v>0.58333333333333337</v>
      </c>
      <c r="Z132" s="26">
        <f>J132/(J132+K132)</f>
        <v>0.53846153846153844</v>
      </c>
      <c r="AA132" s="26">
        <f>L133/(L133+M133)</f>
        <v>0.33333333333333331</v>
      </c>
      <c r="AB132" s="26" t="e">
        <f>N132/(N132+O132)</f>
        <v>#DIV/0!</v>
      </c>
      <c r="AC132" s="26" t="e">
        <f>P132/(P132+Q132)</f>
        <v>#DIV/0!</v>
      </c>
      <c r="AD132" s="26">
        <f>V132/W132</f>
        <v>0.56000000000000005</v>
      </c>
    </row>
    <row r="133" spans="1:30" x14ac:dyDescent="0.2">
      <c r="A133" s="14" t="s">
        <v>223</v>
      </c>
      <c r="B133" s="10" t="s">
        <v>305</v>
      </c>
      <c r="C133" s="10" t="s">
        <v>221</v>
      </c>
      <c r="D133" s="10" t="s">
        <v>475</v>
      </c>
      <c r="E133" s="18" t="s">
        <v>443</v>
      </c>
      <c r="F133" s="10" t="s">
        <v>66</v>
      </c>
      <c r="G133" s="16">
        <v>4</v>
      </c>
      <c r="H133" s="16">
        <v>6</v>
      </c>
      <c r="I133" s="16">
        <v>3</v>
      </c>
      <c r="J133" s="16">
        <v>6</v>
      </c>
      <c r="K133" s="16">
        <v>4</v>
      </c>
      <c r="L133" s="16">
        <v>3</v>
      </c>
      <c r="M133" s="16">
        <v>6</v>
      </c>
      <c r="N133" s="16">
        <v>5</v>
      </c>
      <c r="O133" s="16">
        <v>7</v>
      </c>
      <c r="P133" s="16">
        <v>6</v>
      </c>
      <c r="Q133" s="16">
        <v>3</v>
      </c>
      <c r="R133" s="10" t="s">
        <v>224</v>
      </c>
      <c r="S133" s="10" t="s">
        <v>464</v>
      </c>
      <c r="T133" s="10" t="s">
        <v>460</v>
      </c>
      <c r="U133" s="16">
        <v>11</v>
      </c>
      <c r="V133" s="15">
        <f>H133+J133+L133+N133+P133</f>
        <v>26</v>
      </c>
      <c r="W133" s="15">
        <f>H133+I133+J133+K133+L133+M133+N133+O133+P133+Q133</f>
        <v>49</v>
      </c>
      <c r="X133" s="26">
        <f>V133/W133</f>
        <v>0.53061224489795922</v>
      </c>
      <c r="Y133" s="26">
        <f>H133/(H133+I133)</f>
        <v>0.66666666666666663</v>
      </c>
      <c r="Z133" s="26">
        <f>J133/(J133+K133)</f>
        <v>0.6</v>
      </c>
      <c r="AA133" s="26" t="e">
        <f>L134/(L134+M134)</f>
        <v>#DIV/0!</v>
      </c>
      <c r="AB133" s="26">
        <f>N133/(N133+O133)</f>
        <v>0.41666666666666669</v>
      </c>
      <c r="AC133" s="26">
        <f>P133/(P133+Q133)</f>
        <v>0.66666666666666663</v>
      </c>
      <c r="AD133" s="26">
        <f>V133/W133</f>
        <v>0.53061224489795922</v>
      </c>
    </row>
    <row r="134" spans="1:30" x14ac:dyDescent="0.2">
      <c r="A134" s="9" t="s">
        <v>225</v>
      </c>
      <c r="B134" s="10" t="s">
        <v>438</v>
      </c>
      <c r="C134" s="11" t="s">
        <v>395</v>
      </c>
      <c r="D134" s="11" t="s">
        <v>451</v>
      </c>
      <c r="E134" s="11" t="s">
        <v>449</v>
      </c>
      <c r="F134" s="11" t="s">
        <v>538</v>
      </c>
      <c r="G134" s="13">
        <v>1</v>
      </c>
      <c r="H134" s="13">
        <v>6</v>
      </c>
      <c r="I134" s="13">
        <v>1</v>
      </c>
      <c r="J134" s="13">
        <v>7</v>
      </c>
      <c r="K134" s="13">
        <v>6</v>
      </c>
      <c r="L134" s="13"/>
      <c r="M134" s="13"/>
      <c r="N134" s="13"/>
      <c r="O134" s="13"/>
      <c r="P134" s="13"/>
      <c r="Q134" s="13"/>
      <c r="R134" s="11" t="s">
        <v>376</v>
      </c>
      <c r="S134" s="11" t="s">
        <v>467</v>
      </c>
      <c r="T134" s="11" t="s">
        <v>442</v>
      </c>
      <c r="U134" s="13">
        <v>3</v>
      </c>
      <c r="V134" s="15">
        <f>H134+J134+L134+N134+P134</f>
        <v>13</v>
      </c>
      <c r="W134" s="15">
        <f>H134+I134+J134+K134+L134+M134+N134+O134+P134+Q134</f>
        <v>20</v>
      </c>
      <c r="X134" s="26">
        <f>V134/W134</f>
        <v>0.65</v>
      </c>
      <c r="Y134" s="26">
        <f>H134/(H134+I134)</f>
        <v>0.8571428571428571</v>
      </c>
      <c r="Z134" s="26">
        <f>J134/(J134+K134)</f>
        <v>0.53846153846153844</v>
      </c>
      <c r="AA134" s="26">
        <f>L135/(L135+M135)</f>
        <v>0.33333333333333331</v>
      </c>
      <c r="AB134" s="26" t="e">
        <f>N134/(N134+O134)</f>
        <v>#DIV/0!</v>
      </c>
      <c r="AC134" s="26" t="e">
        <f>P134/(P134+Q134)</f>
        <v>#DIV/0!</v>
      </c>
      <c r="AD134" s="26">
        <f>V134/W134</f>
        <v>0.65</v>
      </c>
    </row>
    <row r="135" spans="1:30" x14ac:dyDescent="0.2">
      <c r="A135" s="9" t="s">
        <v>225</v>
      </c>
      <c r="B135" s="10" t="s">
        <v>305</v>
      </c>
      <c r="C135" s="11" t="s">
        <v>215</v>
      </c>
      <c r="D135" s="11" t="s">
        <v>475</v>
      </c>
      <c r="E135" s="11" t="s">
        <v>443</v>
      </c>
      <c r="F135" s="11" t="s">
        <v>514</v>
      </c>
      <c r="G135" s="13">
        <v>3</v>
      </c>
      <c r="H135" s="13">
        <v>6</v>
      </c>
      <c r="I135" s="13">
        <v>3</v>
      </c>
      <c r="J135" s="13">
        <v>6</v>
      </c>
      <c r="K135" s="13">
        <v>7</v>
      </c>
      <c r="L135" s="13">
        <v>3</v>
      </c>
      <c r="M135" s="13">
        <v>6</v>
      </c>
      <c r="N135" s="13">
        <v>6</v>
      </c>
      <c r="O135" s="13">
        <v>1</v>
      </c>
      <c r="P135" s="13">
        <v>8</v>
      </c>
      <c r="Q135" s="13">
        <v>6</v>
      </c>
      <c r="R135" s="11" t="s">
        <v>224</v>
      </c>
      <c r="S135" s="11" t="s">
        <v>464</v>
      </c>
      <c r="T135" s="11" t="s">
        <v>460</v>
      </c>
      <c r="U135" s="13">
        <v>4</v>
      </c>
      <c r="V135" s="15">
        <f>H135+J135+L135+N135+P135</f>
        <v>29</v>
      </c>
      <c r="W135" s="15">
        <f>H135+I135+J135+K135+L135+M135+N135+O135+P135+Q135</f>
        <v>52</v>
      </c>
      <c r="X135" s="26">
        <f>V135/W135</f>
        <v>0.55769230769230771</v>
      </c>
      <c r="Y135" s="26">
        <f>H135/(H135+I135)</f>
        <v>0.66666666666666663</v>
      </c>
      <c r="Z135" s="26">
        <f>J135/(J135+K135)</f>
        <v>0.46153846153846156</v>
      </c>
      <c r="AA135" s="26" t="e">
        <f>L136/(L136+M136)</f>
        <v>#DIV/0!</v>
      </c>
      <c r="AB135" s="26">
        <f>N135/(N135+O135)</f>
        <v>0.8571428571428571</v>
      </c>
      <c r="AC135" s="26">
        <f>P135/(P135+Q135)</f>
        <v>0.5714285714285714</v>
      </c>
      <c r="AD135" s="26">
        <f>V135/W135</f>
        <v>0.55769230769230771</v>
      </c>
    </row>
    <row r="136" spans="1:30" x14ac:dyDescent="0.2">
      <c r="A136" s="14" t="s">
        <v>226</v>
      </c>
      <c r="B136" s="10" t="s">
        <v>438</v>
      </c>
      <c r="C136" s="10" t="s">
        <v>395</v>
      </c>
      <c r="D136" s="10" t="s">
        <v>451</v>
      </c>
      <c r="E136" s="10" t="s">
        <v>449</v>
      </c>
      <c r="F136" s="10" t="s">
        <v>332</v>
      </c>
      <c r="G136" s="16">
        <v>1</v>
      </c>
      <c r="H136" s="16">
        <v>6</v>
      </c>
      <c r="I136" s="16">
        <v>4</v>
      </c>
      <c r="J136" s="16">
        <v>6</v>
      </c>
      <c r="K136" s="16">
        <v>4</v>
      </c>
      <c r="L136" s="16"/>
      <c r="M136" s="16"/>
      <c r="N136" s="16"/>
      <c r="O136" s="16"/>
      <c r="P136" s="16"/>
      <c r="Q136" s="16"/>
      <c r="R136" s="10" t="s">
        <v>393</v>
      </c>
      <c r="S136" s="10" t="s">
        <v>560</v>
      </c>
      <c r="T136" s="10" t="s">
        <v>455</v>
      </c>
      <c r="U136" s="16">
        <v>5</v>
      </c>
      <c r="V136" s="15">
        <f>H136+J136+L136+N136+P136</f>
        <v>12</v>
      </c>
      <c r="W136" s="15">
        <f>H136+I136+J136+K136+L136+M136+N136+O136+P136+Q136</f>
        <v>20</v>
      </c>
      <c r="X136" s="26">
        <f>V136/W136</f>
        <v>0.6</v>
      </c>
      <c r="Y136" s="26">
        <f>H136/(H136+I136)</f>
        <v>0.6</v>
      </c>
      <c r="Z136" s="26">
        <f>J136/(J136+K136)</f>
        <v>0.6</v>
      </c>
      <c r="AA136" s="26">
        <f>L137/(L137+M137)</f>
        <v>0.75</v>
      </c>
      <c r="AB136" s="26" t="e">
        <f>N136/(N136+O136)</f>
        <v>#DIV/0!</v>
      </c>
      <c r="AC136" s="26" t="e">
        <f>P136/(P136+Q136)</f>
        <v>#DIV/0!</v>
      </c>
      <c r="AD136" s="26">
        <f>V136/W136</f>
        <v>0.6</v>
      </c>
    </row>
    <row r="137" spans="1:30" x14ac:dyDescent="0.2">
      <c r="A137" s="14" t="s">
        <v>226</v>
      </c>
      <c r="B137" s="10" t="s">
        <v>305</v>
      </c>
      <c r="C137" s="10" t="s">
        <v>216</v>
      </c>
      <c r="D137" s="10" t="s">
        <v>560</v>
      </c>
      <c r="E137" s="18" t="s">
        <v>455</v>
      </c>
      <c r="F137" s="10" t="s">
        <v>228</v>
      </c>
      <c r="G137" s="16">
        <v>2</v>
      </c>
      <c r="H137" s="16">
        <v>6</v>
      </c>
      <c r="I137" s="16">
        <v>2</v>
      </c>
      <c r="J137" s="16">
        <v>6</v>
      </c>
      <c r="K137" s="16">
        <v>2</v>
      </c>
      <c r="L137" s="16">
        <v>6</v>
      </c>
      <c r="M137" s="16">
        <v>2</v>
      </c>
      <c r="N137" s="16"/>
      <c r="O137" s="16"/>
      <c r="P137" s="16"/>
      <c r="Q137" s="16"/>
      <c r="R137" s="10" t="s">
        <v>227</v>
      </c>
      <c r="S137" s="10" t="s">
        <v>560</v>
      </c>
      <c r="T137" s="10" t="s">
        <v>455</v>
      </c>
      <c r="U137" s="16">
        <v>9</v>
      </c>
      <c r="V137" s="15">
        <f>H137+J137+L137+N137+P137</f>
        <v>18</v>
      </c>
      <c r="W137" s="15">
        <f>H137+I137+J137+K137+L137+M137+N137+O137+P137+Q137</f>
        <v>24</v>
      </c>
      <c r="X137" s="26">
        <f>V137/W137</f>
        <v>0.75</v>
      </c>
      <c r="Y137" s="26">
        <f>H137/(H137+I137)</f>
        <v>0.75</v>
      </c>
      <c r="Z137" s="26">
        <f>J137/(J137+K137)</f>
        <v>0.75</v>
      </c>
      <c r="AA137" s="26" t="e">
        <f>L138/(L138+M138)</f>
        <v>#DIV/0!</v>
      </c>
      <c r="AB137" s="26" t="e">
        <f>N137/(N137+O137)</f>
        <v>#DIV/0!</v>
      </c>
      <c r="AC137" s="26" t="e">
        <f>P137/(P137+Q137)</f>
        <v>#DIV/0!</v>
      </c>
      <c r="AD137" s="26">
        <f>V137/W137</f>
        <v>0.75</v>
      </c>
    </row>
    <row r="138" spans="1:30" x14ac:dyDescent="0.2">
      <c r="A138" s="9" t="s">
        <v>229</v>
      </c>
      <c r="B138" s="10" t="s">
        <v>438</v>
      </c>
      <c r="C138" s="11" t="s">
        <v>395</v>
      </c>
      <c r="D138" s="11" t="s">
        <v>451</v>
      </c>
      <c r="E138" s="11" t="s">
        <v>449</v>
      </c>
      <c r="F138" s="11" t="s">
        <v>346</v>
      </c>
      <c r="G138" s="13">
        <v>1</v>
      </c>
      <c r="H138" s="13">
        <v>6</v>
      </c>
      <c r="I138" s="13">
        <v>3</v>
      </c>
      <c r="J138" s="13">
        <v>6</v>
      </c>
      <c r="K138" s="13">
        <v>4</v>
      </c>
      <c r="L138" s="13"/>
      <c r="M138" s="13"/>
      <c r="N138" s="13"/>
      <c r="O138" s="13"/>
      <c r="P138" s="13"/>
      <c r="Q138" s="13"/>
      <c r="R138" s="11" t="s">
        <v>396</v>
      </c>
      <c r="S138" s="11" t="s">
        <v>467</v>
      </c>
      <c r="T138" s="11" t="s">
        <v>442</v>
      </c>
      <c r="U138" s="13">
        <v>6</v>
      </c>
      <c r="V138" s="15">
        <f>H138+J138+L138+N138+P138</f>
        <v>12</v>
      </c>
      <c r="W138" s="15">
        <f>H138+I138+J138+K138+L138+M138+N138+O138+P138+Q138</f>
        <v>19</v>
      </c>
      <c r="X138" s="26">
        <f>V138/W138</f>
        <v>0.63157894736842102</v>
      </c>
      <c r="Y138" s="26">
        <f>H138/(H138+I138)</f>
        <v>0.66666666666666663</v>
      </c>
      <c r="Z138" s="26">
        <f>J138/(J138+K138)</f>
        <v>0.6</v>
      </c>
      <c r="AA138" s="26">
        <f>L139/(L139+M139)</f>
        <v>0.7142857142857143</v>
      </c>
      <c r="AB138" s="26" t="e">
        <f>N138/(N138+O138)</f>
        <v>#DIV/0!</v>
      </c>
      <c r="AC138" s="26" t="e">
        <f>P138/(P138+Q138)</f>
        <v>#DIV/0!</v>
      </c>
      <c r="AD138" s="26">
        <f>V138/W138</f>
        <v>0.63157894736842102</v>
      </c>
    </row>
    <row r="139" spans="1:30" x14ac:dyDescent="0.2">
      <c r="A139" s="9" t="s">
        <v>229</v>
      </c>
      <c r="B139" s="10" t="s">
        <v>305</v>
      </c>
      <c r="C139" s="11" t="s">
        <v>216</v>
      </c>
      <c r="D139" s="11" t="s">
        <v>560</v>
      </c>
      <c r="E139" s="11" t="s">
        <v>455</v>
      </c>
      <c r="F139" s="11" t="s">
        <v>515</v>
      </c>
      <c r="G139" s="13">
        <v>1</v>
      </c>
      <c r="H139" s="13">
        <v>4</v>
      </c>
      <c r="I139" s="13">
        <v>6</v>
      </c>
      <c r="J139" s="13">
        <v>7</v>
      </c>
      <c r="K139" s="13">
        <v>6</v>
      </c>
      <c r="L139" s="13">
        <v>5</v>
      </c>
      <c r="M139" s="13">
        <v>2</v>
      </c>
      <c r="N139" s="13"/>
      <c r="O139" s="13"/>
      <c r="P139" s="13"/>
      <c r="Q139" s="13"/>
      <c r="R139" s="11" t="s">
        <v>221</v>
      </c>
      <c r="S139" s="11" t="s">
        <v>475</v>
      </c>
      <c r="T139" s="11" t="s">
        <v>443</v>
      </c>
      <c r="U139" s="13">
        <v>3</v>
      </c>
      <c r="V139" s="15">
        <f>H139+J139+L139+N139+P139</f>
        <v>16</v>
      </c>
      <c r="W139" s="15">
        <f>H139+I139+J139+K139+L139+M139+N139+O139+P139+Q139</f>
        <v>30</v>
      </c>
      <c r="X139" s="26">
        <f>V139/W139</f>
        <v>0.53333333333333333</v>
      </c>
      <c r="Y139" s="26">
        <f>H139/(H139+I139)</f>
        <v>0.4</v>
      </c>
      <c r="Z139" s="26">
        <f>J139/(J139+K139)</f>
        <v>0.53846153846153844</v>
      </c>
      <c r="AA139" s="26">
        <f>L140/(L140+M140)</f>
        <v>0.8571428571428571</v>
      </c>
      <c r="AB139" s="26" t="e">
        <f>N139/(N139+O139)</f>
        <v>#DIV/0!</v>
      </c>
      <c r="AC139" s="26" t="e">
        <f>P139/(P139+Q139)</f>
        <v>#DIV/0!</v>
      </c>
      <c r="AD139" s="26">
        <f>V139/W139</f>
        <v>0.53333333333333333</v>
      </c>
    </row>
    <row r="140" spans="1:30" x14ac:dyDescent="0.2">
      <c r="A140" s="14" t="s">
        <v>230</v>
      </c>
      <c r="B140" s="10" t="s">
        <v>438</v>
      </c>
      <c r="C140" s="10" t="s">
        <v>397</v>
      </c>
      <c r="D140" s="10" t="s">
        <v>477</v>
      </c>
      <c r="E140" s="10" t="s">
        <v>441</v>
      </c>
      <c r="F140" s="10" t="s">
        <v>399</v>
      </c>
      <c r="G140" s="16">
        <v>2</v>
      </c>
      <c r="H140" s="16">
        <v>5</v>
      </c>
      <c r="I140" s="16">
        <v>7</v>
      </c>
      <c r="J140" s="16">
        <v>6</v>
      </c>
      <c r="K140" s="16">
        <v>3</v>
      </c>
      <c r="L140" s="16">
        <v>6</v>
      </c>
      <c r="M140" s="16">
        <v>1</v>
      </c>
      <c r="N140" s="16"/>
      <c r="O140" s="16"/>
      <c r="P140" s="16"/>
      <c r="Q140" s="16"/>
      <c r="R140" s="10" t="s">
        <v>398</v>
      </c>
      <c r="S140" s="10" t="s">
        <v>560</v>
      </c>
      <c r="T140" s="10" t="s">
        <v>455</v>
      </c>
      <c r="U140" s="16">
        <v>10</v>
      </c>
      <c r="V140" s="15">
        <f>H140+J140+L140+N140+P140</f>
        <v>17</v>
      </c>
      <c r="W140" s="15">
        <f>H140+I140+J140+K140+L140+M140+N140+O140+P140+Q140</f>
        <v>28</v>
      </c>
      <c r="X140" s="26">
        <f>V140/W140</f>
        <v>0.6071428571428571</v>
      </c>
      <c r="Y140" s="26">
        <f>H140/(H140+I140)</f>
        <v>0.41666666666666669</v>
      </c>
      <c r="Z140" s="26">
        <f>J140/(J140+K140)</f>
        <v>0.66666666666666663</v>
      </c>
      <c r="AA140" s="26">
        <f>L141/(L141+M141)</f>
        <v>0.6</v>
      </c>
      <c r="AB140" s="26" t="e">
        <f>N140/(N140+O140)</f>
        <v>#DIV/0!</v>
      </c>
      <c r="AC140" s="26" t="e">
        <f>P140/(P140+Q140)</f>
        <v>#DIV/0!</v>
      </c>
      <c r="AD140" s="26">
        <f>V140/W140</f>
        <v>0.6071428571428571</v>
      </c>
    </row>
    <row r="141" spans="1:30" x14ac:dyDescent="0.2">
      <c r="A141" s="14" t="s">
        <v>230</v>
      </c>
      <c r="B141" s="10" t="s">
        <v>305</v>
      </c>
      <c r="C141" s="10" t="s">
        <v>231</v>
      </c>
      <c r="D141" s="10" t="s">
        <v>451</v>
      </c>
      <c r="E141" s="10" t="s">
        <v>449</v>
      </c>
      <c r="F141" s="10" t="s">
        <v>232</v>
      </c>
      <c r="G141" s="16">
        <v>2</v>
      </c>
      <c r="H141" s="16">
        <v>1</v>
      </c>
      <c r="I141" s="16">
        <v>6</v>
      </c>
      <c r="J141" s="16">
        <v>6</v>
      </c>
      <c r="K141" s="16">
        <v>4</v>
      </c>
      <c r="L141" s="16">
        <v>6</v>
      </c>
      <c r="M141" s="16">
        <v>4</v>
      </c>
      <c r="N141" s="16">
        <v>6</v>
      </c>
      <c r="O141" s="16">
        <v>4</v>
      </c>
      <c r="P141" s="16"/>
      <c r="Q141" s="16"/>
      <c r="R141" s="10" t="s">
        <v>216</v>
      </c>
      <c r="S141" s="10" t="s">
        <v>560</v>
      </c>
      <c r="T141" s="10" t="s">
        <v>455</v>
      </c>
      <c r="U141" s="16">
        <v>3</v>
      </c>
      <c r="V141" s="15">
        <f>H141+J141+L141+N141+P141</f>
        <v>19</v>
      </c>
      <c r="W141" s="15">
        <f>H141+I141+J141+K141+L141+M141+N141+O141+P141+Q141</f>
        <v>37</v>
      </c>
      <c r="X141" s="26">
        <f>V141/W141</f>
        <v>0.51351351351351349</v>
      </c>
      <c r="Y141" s="26">
        <f>H141/(H141+I141)</f>
        <v>0.14285714285714285</v>
      </c>
      <c r="Z141" s="26">
        <f>J141/(J141+K141)</f>
        <v>0.6</v>
      </c>
      <c r="AA141" s="26" t="e">
        <f>L142/(L142+M142)</f>
        <v>#DIV/0!</v>
      </c>
      <c r="AB141" s="26">
        <f>N141/(N141+O141)</f>
        <v>0.6</v>
      </c>
      <c r="AC141" s="26" t="e">
        <f>P141/(P141+Q141)</f>
        <v>#DIV/0!</v>
      </c>
      <c r="AD141" s="26">
        <f>V141/W141</f>
        <v>0.51351351351351349</v>
      </c>
    </row>
    <row r="142" spans="1:30" x14ac:dyDescent="0.2">
      <c r="A142" s="9" t="s">
        <v>233</v>
      </c>
      <c r="B142" s="10" t="s">
        <v>438</v>
      </c>
      <c r="C142" s="11" t="s">
        <v>397</v>
      </c>
      <c r="D142" s="11" t="s">
        <v>477</v>
      </c>
      <c r="E142" s="17" t="s">
        <v>441</v>
      </c>
      <c r="F142" s="11" t="s">
        <v>350</v>
      </c>
      <c r="G142" s="13">
        <v>1</v>
      </c>
      <c r="H142" s="13">
        <v>6</v>
      </c>
      <c r="I142" s="13">
        <v>2</v>
      </c>
      <c r="J142" s="13">
        <v>6</v>
      </c>
      <c r="K142" s="13">
        <v>3</v>
      </c>
      <c r="L142" s="13"/>
      <c r="M142" s="13"/>
      <c r="N142" s="13"/>
      <c r="O142" s="13"/>
      <c r="P142" s="13"/>
      <c r="Q142" s="13"/>
      <c r="R142" s="11" t="s">
        <v>396</v>
      </c>
      <c r="S142" s="11" t="s">
        <v>467</v>
      </c>
      <c r="T142" s="11" t="s">
        <v>442</v>
      </c>
      <c r="U142" s="13">
        <v>7</v>
      </c>
      <c r="V142" s="15">
        <f>H142+J142+L142+N142+P142</f>
        <v>12</v>
      </c>
      <c r="W142" s="15">
        <f>H142+I142+J142+K142+L142+M142+N142+O142+P142+Q142</f>
        <v>17</v>
      </c>
      <c r="X142" s="26">
        <f>V142/W142</f>
        <v>0.70588235294117652</v>
      </c>
      <c r="Y142" s="26">
        <f>H142/(H142+I142)</f>
        <v>0.75</v>
      </c>
      <c r="Z142" s="26">
        <f>J142/(J142+K142)</f>
        <v>0.66666666666666663</v>
      </c>
      <c r="AA142" s="26">
        <f>L143/(L143+M143)</f>
        <v>0.6</v>
      </c>
      <c r="AB142" s="26" t="e">
        <f>N142/(N142+O142)</f>
        <v>#DIV/0!</v>
      </c>
      <c r="AC142" s="26" t="e">
        <f>P142/(P142+Q142)</f>
        <v>#DIV/0!</v>
      </c>
      <c r="AD142" s="26">
        <f>V142/W142</f>
        <v>0.70588235294117652</v>
      </c>
    </row>
    <row r="143" spans="1:30" x14ac:dyDescent="0.2">
      <c r="A143" s="9" t="s">
        <v>233</v>
      </c>
      <c r="B143" s="10" t="s">
        <v>305</v>
      </c>
      <c r="C143" s="11" t="s">
        <v>234</v>
      </c>
      <c r="D143" s="11" t="s">
        <v>467</v>
      </c>
      <c r="E143" s="11" t="s">
        <v>442</v>
      </c>
      <c r="F143" s="11" t="s">
        <v>235</v>
      </c>
      <c r="G143" s="13">
        <v>2</v>
      </c>
      <c r="H143" s="13">
        <v>6</v>
      </c>
      <c r="I143" s="13">
        <v>3</v>
      </c>
      <c r="J143" s="13">
        <v>3</v>
      </c>
      <c r="K143" s="13">
        <v>6</v>
      </c>
      <c r="L143" s="13">
        <v>6</v>
      </c>
      <c r="M143" s="13">
        <v>4</v>
      </c>
      <c r="N143" s="13">
        <v>6</v>
      </c>
      <c r="O143" s="13">
        <v>2</v>
      </c>
      <c r="P143" s="13"/>
      <c r="Q143" s="13"/>
      <c r="R143" s="11" t="s">
        <v>221</v>
      </c>
      <c r="S143" s="11" t="s">
        <v>475</v>
      </c>
      <c r="T143" s="11" t="s">
        <v>443</v>
      </c>
      <c r="U143" s="13">
        <v>1</v>
      </c>
      <c r="V143" s="15">
        <f>H143+J143+L143+N143+P143</f>
        <v>21</v>
      </c>
      <c r="W143" s="15">
        <f>H143+I143+J143+K143+L143+M143+N143+O143+P143+Q143</f>
        <v>36</v>
      </c>
      <c r="X143" s="26">
        <f>V143/W143</f>
        <v>0.58333333333333337</v>
      </c>
      <c r="Y143" s="26">
        <f>H143/(H143+I143)</f>
        <v>0.66666666666666663</v>
      </c>
      <c r="Z143" s="26">
        <f>J143/(J143+K143)</f>
        <v>0.33333333333333331</v>
      </c>
      <c r="AA143" s="26">
        <f>L144/(L144+M144)</f>
        <v>0.75</v>
      </c>
      <c r="AB143" s="26">
        <f>N143/(N143+O143)</f>
        <v>0.75</v>
      </c>
      <c r="AC143" s="26" t="e">
        <f>P143/(P143+Q143)</f>
        <v>#DIV/0!</v>
      </c>
      <c r="AD143" s="26">
        <f>V143/W143</f>
        <v>0.58333333333333337</v>
      </c>
    </row>
    <row r="144" spans="1:30" x14ac:dyDescent="0.2">
      <c r="A144" s="14" t="s">
        <v>236</v>
      </c>
      <c r="B144" s="10" t="s">
        <v>438</v>
      </c>
      <c r="C144" s="10" t="s">
        <v>397</v>
      </c>
      <c r="D144" s="10" t="s">
        <v>477</v>
      </c>
      <c r="E144" s="10" t="s">
        <v>441</v>
      </c>
      <c r="F144" s="10" t="s">
        <v>400</v>
      </c>
      <c r="G144" s="16">
        <v>1</v>
      </c>
      <c r="H144" s="16">
        <v>4</v>
      </c>
      <c r="I144" s="16">
        <v>6</v>
      </c>
      <c r="J144" s="16">
        <v>6</v>
      </c>
      <c r="K144" s="16">
        <v>3</v>
      </c>
      <c r="L144" s="16">
        <v>6</v>
      </c>
      <c r="M144" s="16">
        <v>2</v>
      </c>
      <c r="N144" s="16"/>
      <c r="O144" s="16"/>
      <c r="P144" s="16"/>
      <c r="Q144" s="16"/>
      <c r="R144" s="10" t="s">
        <v>395</v>
      </c>
      <c r="S144" s="10" t="s">
        <v>451</v>
      </c>
      <c r="T144" s="10" t="s">
        <v>449</v>
      </c>
      <c r="U144" s="16">
        <v>2</v>
      </c>
      <c r="V144" s="15">
        <f>H144+J144+L144+N144+P144</f>
        <v>16</v>
      </c>
      <c r="W144" s="15">
        <f>H144+I144+J144+K144+L144+M144+N144+O144+P144+Q144</f>
        <v>27</v>
      </c>
      <c r="X144" s="26">
        <f>V144/W144</f>
        <v>0.59259259259259256</v>
      </c>
      <c r="Y144" s="26">
        <f>H144/(H144+I144)</f>
        <v>0.4</v>
      </c>
      <c r="Z144" s="26">
        <f>J144/(J144+K144)</f>
        <v>0.66666666666666663</v>
      </c>
      <c r="AA144" s="26">
        <f>L145/(L145+M145)</f>
        <v>0.25</v>
      </c>
      <c r="AB144" s="26" t="e">
        <f>N144/(N144+O144)</f>
        <v>#DIV/0!</v>
      </c>
      <c r="AC144" s="26" t="e">
        <f>P144/(P144+Q144)</f>
        <v>#DIV/0!</v>
      </c>
      <c r="AD144" s="26">
        <f>V144/W144</f>
        <v>0.59259259259259256</v>
      </c>
    </row>
    <row r="145" spans="1:30" x14ac:dyDescent="0.2">
      <c r="A145" s="14" t="s">
        <v>236</v>
      </c>
      <c r="B145" s="10" t="s">
        <v>305</v>
      </c>
      <c r="C145" s="10" t="s">
        <v>234</v>
      </c>
      <c r="D145" s="10" t="s">
        <v>467</v>
      </c>
      <c r="E145" s="18" t="s">
        <v>442</v>
      </c>
      <c r="F145" s="10" t="s">
        <v>237</v>
      </c>
      <c r="G145" s="16">
        <v>1</v>
      </c>
      <c r="H145" s="16">
        <v>6</v>
      </c>
      <c r="I145" s="16">
        <v>2</v>
      </c>
      <c r="J145" s="16">
        <v>6</v>
      </c>
      <c r="K145" s="16">
        <v>1</v>
      </c>
      <c r="L145" s="16">
        <v>2</v>
      </c>
      <c r="M145" s="16">
        <v>6</v>
      </c>
      <c r="N145" s="16">
        <v>7</v>
      </c>
      <c r="O145" s="16">
        <v>5</v>
      </c>
      <c r="P145" s="16"/>
      <c r="Q145" s="16"/>
      <c r="R145" s="10" t="s">
        <v>221</v>
      </c>
      <c r="S145" s="10" t="s">
        <v>475</v>
      </c>
      <c r="T145" s="10" t="s">
        <v>443</v>
      </c>
      <c r="U145" s="16">
        <v>2</v>
      </c>
      <c r="V145" s="15">
        <f>H145+J145+L145+N145+P145</f>
        <v>21</v>
      </c>
      <c r="W145" s="15">
        <f>H145+I145+J145+K145+L145+M145+N145+O145+P145+Q145</f>
        <v>35</v>
      </c>
      <c r="X145" s="26">
        <f>V145/W145</f>
        <v>0.6</v>
      </c>
      <c r="Y145" s="26">
        <f>H145/(H145+I145)</f>
        <v>0.75</v>
      </c>
      <c r="Z145" s="26">
        <f>J145/(J145+K145)</f>
        <v>0.8571428571428571</v>
      </c>
      <c r="AA145" s="26" t="e">
        <f>L146/(L146+M146)</f>
        <v>#DIV/0!</v>
      </c>
      <c r="AB145" s="26">
        <f>N145/(N145+O145)</f>
        <v>0.58333333333333337</v>
      </c>
      <c r="AC145" s="26" t="e">
        <f>P145/(P145+Q145)</f>
        <v>#DIV/0!</v>
      </c>
      <c r="AD145" s="26">
        <f>V145/W145</f>
        <v>0.6</v>
      </c>
    </row>
    <row r="146" spans="1:30" x14ac:dyDescent="0.2">
      <c r="A146" s="9" t="s">
        <v>238</v>
      </c>
      <c r="B146" s="10" t="s">
        <v>438</v>
      </c>
      <c r="C146" s="11" t="s">
        <v>395</v>
      </c>
      <c r="D146" s="11" t="s">
        <v>451</v>
      </c>
      <c r="E146" s="11" t="s">
        <v>449</v>
      </c>
      <c r="F146" s="11" t="s">
        <v>363</v>
      </c>
      <c r="G146" s="13">
        <v>1</v>
      </c>
      <c r="H146" s="13">
        <v>6</v>
      </c>
      <c r="I146" s="13">
        <v>0</v>
      </c>
      <c r="J146" s="13">
        <v>6</v>
      </c>
      <c r="K146" s="13">
        <v>2</v>
      </c>
      <c r="L146" s="13"/>
      <c r="M146" s="13"/>
      <c r="N146" s="13"/>
      <c r="O146" s="13"/>
      <c r="P146" s="13"/>
      <c r="Q146" s="13"/>
      <c r="R146" s="11" t="s">
        <v>401</v>
      </c>
      <c r="S146" s="11" t="s">
        <v>463</v>
      </c>
      <c r="T146" s="11" t="s">
        <v>453</v>
      </c>
      <c r="U146" s="13">
        <v>2</v>
      </c>
      <c r="V146" s="15">
        <f>H146+J146+L146+N146+P146</f>
        <v>12</v>
      </c>
      <c r="W146" s="15">
        <f>H146+I146+J146+K146+L146+M146+N146+O146+P146+Q146</f>
        <v>14</v>
      </c>
      <c r="X146" s="26">
        <f>V146/W146</f>
        <v>0.8571428571428571</v>
      </c>
      <c r="Y146" s="26">
        <f>H146/(H146+I146)</f>
        <v>1</v>
      </c>
      <c r="Z146" s="26">
        <f>J146/(J146+K146)</f>
        <v>0.75</v>
      </c>
      <c r="AA146" s="26">
        <f>L147/(L147+M147)</f>
        <v>0.6</v>
      </c>
      <c r="AB146" s="26" t="e">
        <f>N146/(N146+O146)</f>
        <v>#DIV/0!</v>
      </c>
      <c r="AC146" s="26" t="e">
        <f>P146/(P146+Q146)</f>
        <v>#DIV/0!</v>
      </c>
      <c r="AD146" s="26">
        <f>V146/W146</f>
        <v>0.8571428571428571</v>
      </c>
    </row>
    <row r="147" spans="1:30" x14ac:dyDescent="0.2">
      <c r="A147" s="9" t="s">
        <v>238</v>
      </c>
      <c r="B147" s="10" t="s">
        <v>305</v>
      </c>
      <c r="C147" s="11" t="s">
        <v>239</v>
      </c>
      <c r="D147" s="11" t="s">
        <v>467</v>
      </c>
      <c r="E147" s="11" t="s">
        <v>442</v>
      </c>
      <c r="F147" s="11" t="s">
        <v>516</v>
      </c>
      <c r="G147" s="13">
        <v>1</v>
      </c>
      <c r="H147" s="13">
        <v>7</v>
      </c>
      <c r="I147" s="13">
        <v>6</v>
      </c>
      <c r="J147" s="13">
        <v>6</v>
      </c>
      <c r="K147" s="13">
        <v>4</v>
      </c>
      <c r="L147" s="13">
        <v>6</v>
      </c>
      <c r="M147" s="13">
        <v>4</v>
      </c>
      <c r="N147" s="13"/>
      <c r="O147" s="13"/>
      <c r="P147" s="13"/>
      <c r="Q147" s="13"/>
      <c r="R147" s="11" t="s">
        <v>240</v>
      </c>
      <c r="S147" s="11" t="s">
        <v>467</v>
      </c>
      <c r="T147" s="11" t="s">
        <v>442</v>
      </c>
      <c r="U147" s="13">
        <v>9</v>
      </c>
      <c r="V147" s="15">
        <f>H147+J147+L147+N147+P147</f>
        <v>19</v>
      </c>
      <c r="W147" s="15">
        <f>H147+I147+J147+K147+L147+M147+N147+O147+P147+Q147</f>
        <v>33</v>
      </c>
      <c r="X147" s="26">
        <f>V147/W147</f>
        <v>0.5757575757575758</v>
      </c>
      <c r="Y147" s="26">
        <f>H147/(H147+I147)</f>
        <v>0.53846153846153844</v>
      </c>
      <c r="Z147" s="26">
        <f>J147/(J147+K147)</f>
        <v>0.6</v>
      </c>
      <c r="AA147" s="26" t="e">
        <f>L148/(L148+M148)</f>
        <v>#DIV/0!</v>
      </c>
      <c r="AB147" s="26" t="e">
        <f>N147/(N147+O147)</f>
        <v>#DIV/0!</v>
      </c>
      <c r="AC147" s="26" t="e">
        <f>P147/(P147+Q147)</f>
        <v>#DIV/0!</v>
      </c>
      <c r="AD147" s="26">
        <f>V147/W147</f>
        <v>0.5757575757575758</v>
      </c>
    </row>
    <row r="148" spans="1:30" x14ac:dyDescent="0.2">
      <c r="A148" s="14" t="s">
        <v>241</v>
      </c>
      <c r="B148" s="10" t="s">
        <v>438</v>
      </c>
      <c r="C148" s="10" t="s">
        <v>402</v>
      </c>
      <c r="D148" s="10" t="s">
        <v>474</v>
      </c>
      <c r="E148" s="10" t="s">
        <v>452</v>
      </c>
      <c r="F148" s="10" t="s">
        <v>337</v>
      </c>
      <c r="G148" s="16">
        <v>4</v>
      </c>
      <c r="H148" s="16">
        <v>6</v>
      </c>
      <c r="I148" s="16">
        <v>3</v>
      </c>
      <c r="J148" s="16">
        <v>6</v>
      </c>
      <c r="K148" s="16">
        <v>2</v>
      </c>
      <c r="L148" s="16"/>
      <c r="M148" s="16"/>
      <c r="N148" s="16"/>
      <c r="O148" s="16"/>
      <c r="P148" s="16"/>
      <c r="Q148" s="16"/>
      <c r="R148" s="10" t="s">
        <v>401</v>
      </c>
      <c r="S148" s="10" t="s">
        <v>463</v>
      </c>
      <c r="T148" s="10" t="s">
        <v>453</v>
      </c>
      <c r="U148" s="16">
        <v>1</v>
      </c>
      <c r="V148" s="15">
        <f>H148+J148+L148+N148+P148</f>
        <v>12</v>
      </c>
      <c r="W148" s="15">
        <f>H148+I148+J148+K148+L148+M148+N148+O148+P148+Q148</f>
        <v>17</v>
      </c>
      <c r="X148" s="26">
        <f>V148/W148</f>
        <v>0.70588235294117652</v>
      </c>
      <c r="Y148" s="26">
        <f>H148/(H148+I148)</f>
        <v>0.66666666666666663</v>
      </c>
      <c r="Z148" s="26">
        <f>J148/(J148+K148)</f>
        <v>0.75</v>
      </c>
      <c r="AA148" s="26">
        <f>L149/(L149+M149)</f>
        <v>0.53846153846153844</v>
      </c>
      <c r="AB148" s="26" t="e">
        <f>N148/(N148+O148)</f>
        <v>#DIV/0!</v>
      </c>
      <c r="AC148" s="26" t="e">
        <f>P148/(P148+Q148)</f>
        <v>#DIV/0!</v>
      </c>
      <c r="AD148" s="26">
        <f>V148/W148</f>
        <v>0.70588235294117652</v>
      </c>
    </row>
    <row r="149" spans="1:30" x14ac:dyDescent="0.2">
      <c r="A149" s="14" t="s">
        <v>241</v>
      </c>
      <c r="B149" s="10" t="s">
        <v>305</v>
      </c>
      <c r="C149" s="10" t="s">
        <v>242</v>
      </c>
      <c r="D149" s="10" t="s">
        <v>467</v>
      </c>
      <c r="E149" s="18" t="s">
        <v>442</v>
      </c>
      <c r="F149" s="10" t="s">
        <v>517</v>
      </c>
      <c r="G149" s="16">
        <v>2</v>
      </c>
      <c r="H149" s="16">
        <v>4</v>
      </c>
      <c r="I149" s="16">
        <v>6</v>
      </c>
      <c r="J149" s="16">
        <v>6</v>
      </c>
      <c r="K149" s="16">
        <v>1</v>
      </c>
      <c r="L149" s="16">
        <v>7</v>
      </c>
      <c r="M149" s="16">
        <v>6</v>
      </c>
      <c r="N149" s="16">
        <v>6</v>
      </c>
      <c r="O149" s="16">
        <v>4</v>
      </c>
      <c r="P149" s="16"/>
      <c r="Q149" s="16"/>
      <c r="R149" s="10" t="s">
        <v>239</v>
      </c>
      <c r="S149" s="10" t="s">
        <v>467</v>
      </c>
      <c r="T149" s="10" t="s">
        <v>442</v>
      </c>
      <c r="U149" s="16">
        <v>1</v>
      </c>
      <c r="V149" s="15">
        <f>H149+J149+L149+N149+P149</f>
        <v>23</v>
      </c>
      <c r="W149" s="15">
        <f>H149+I149+J149+K149+L149+M149+N149+O149+P149+Q149</f>
        <v>40</v>
      </c>
      <c r="X149" s="26">
        <f>V149/W149</f>
        <v>0.57499999999999996</v>
      </c>
      <c r="Y149" s="26">
        <f>H149/(H149+I149)</f>
        <v>0.4</v>
      </c>
      <c r="Z149" s="26">
        <f>J149/(J149+K149)</f>
        <v>0.8571428571428571</v>
      </c>
      <c r="AA149" s="26" t="e">
        <f>L150/(L150+M150)</f>
        <v>#DIV/0!</v>
      </c>
      <c r="AB149" s="26">
        <f>N149/(N149+O149)</f>
        <v>0.6</v>
      </c>
      <c r="AC149" s="26" t="e">
        <f>P149/(P149+Q149)</f>
        <v>#DIV/0!</v>
      </c>
      <c r="AD149" s="26">
        <f>V149/W149</f>
        <v>0.57499999999999996</v>
      </c>
    </row>
    <row r="150" spans="1:30" x14ac:dyDescent="0.2">
      <c r="A150" s="9" t="s">
        <v>243</v>
      </c>
      <c r="B150" s="10" t="s">
        <v>438</v>
      </c>
      <c r="C150" s="11" t="s">
        <v>397</v>
      </c>
      <c r="D150" s="11" t="s">
        <v>467</v>
      </c>
      <c r="E150" s="11" t="s">
        <v>442</v>
      </c>
      <c r="F150" s="11" t="s">
        <v>372</v>
      </c>
      <c r="G150" s="13">
        <v>1</v>
      </c>
      <c r="H150" s="13">
        <v>6</v>
      </c>
      <c r="I150" s="13">
        <v>4</v>
      </c>
      <c r="J150" s="13">
        <v>6</v>
      </c>
      <c r="K150" s="13">
        <v>1</v>
      </c>
      <c r="L150" s="13"/>
      <c r="M150" s="13"/>
      <c r="N150" s="13"/>
      <c r="O150" s="13"/>
      <c r="P150" s="13"/>
      <c r="Q150" s="13"/>
      <c r="R150" s="11" t="s">
        <v>403</v>
      </c>
      <c r="S150" s="11" t="s">
        <v>451</v>
      </c>
      <c r="T150" s="11" t="s">
        <v>449</v>
      </c>
      <c r="U150" s="13">
        <v>8</v>
      </c>
      <c r="V150" s="15">
        <f>H150+J150+L150+N150+P150</f>
        <v>12</v>
      </c>
      <c r="W150" s="15">
        <f>H150+I150+J150+K150+L150+M150+N150+O150+P150+Q150</f>
        <v>17</v>
      </c>
      <c r="X150" s="26">
        <f>V150/W150</f>
        <v>0.70588235294117652</v>
      </c>
      <c r="Y150" s="26">
        <f>H150/(H150+I150)</f>
        <v>0.6</v>
      </c>
      <c r="Z150" s="26">
        <f>J150/(J150+K150)</f>
        <v>0.8571428571428571</v>
      </c>
      <c r="AA150" s="26">
        <f>L151/(L151+M151)</f>
        <v>0.25</v>
      </c>
      <c r="AB150" s="26" t="e">
        <f>N150/(N150+O150)</f>
        <v>#DIV/0!</v>
      </c>
      <c r="AC150" s="26" t="e">
        <f>P150/(P150+Q150)</f>
        <v>#DIV/0!</v>
      </c>
      <c r="AD150" s="26">
        <f>V150/W150</f>
        <v>0.70588235294117652</v>
      </c>
    </row>
    <row r="151" spans="1:30" x14ac:dyDescent="0.2">
      <c r="A151" s="9" t="s">
        <v>243</v>
      </c>
      <c r="B151" s="10" t="s">
        <v>305</v>
      </c>
      <c r="C151" s="11" t="s">
        <v>231</v>
      </c>
      <c r="D151" s="11" t="s">
        <v>451</v>
      </c>
      <c r="E151" s="11" t="s">
        <v>449</v>
      </c>
      <c r="F151" s="11" t="s">
        <v>245</v>
      </c>
      <c r="G151" s="13">
        <v>4</v>
      </c>
      <c r="H151" s="13">
        <v>6</v>
      </c>
      <c r="I151" s="13">
        <v>2</v>
      </c>
      <c r="J151" s="13">
        <v>6</v>
      </c>
      <c r="K151" s="13">
        <v>4</v>
      </c>
      <c r="L151" s="13">
        <v>2</v>
      </c>
      <c r="M151" s="13">
        <v>6</v>
      </c>
      <c r="N151" s="13">
        <v>6</v>
      </c>
      <c r="O151" s="13">
        <v>2</v>
      </c>
      <c r="P151" s="13"/>
      <c r="Q151" s="13"/>
      <c r="R151" s="11" t="s">
        <v>244</v>
      </c>
      <c r="S151" s="11" t="s">
        <v>467</v>
      </c>
      <c r="T151" s="11" t="s">
        <v>442</v>
      </c>
      <c r="U151" s="13">
        <v>5</v>
      </c>
      <c r="V151" s="15">
        <f>H151+J151+L151+N151+P151</f>
        <v>20</v>
      </c>
      <c r="W151" s="15">
        <f>H151+I151+J151+K151+L151+M151+N151+O151+P151+Q151</f>
        <v>34</v>
      </c>
      <c r="X151" s="26">
        <f>V151/W151</f>
        <v>0.58823529411764708</v>
      </c>
      <c r="Y151" s="26">
        <f>H151/(H151+I151)</f>
        <v>0.75</v>
      </c>
      <c r="Z151" s="26">
        <f>J151/(J151+K151)</f>
        <v>0.6</v>
      </c>
      <c r="AA151" s="26" t="e">
        <f>L152/(L152+M152)</f>
        <v>#DIV/0!</v>
      </c>
      <c r="AB151" s="26">
        <f>N151/(N151+O151)</f>
        <v>0.75</v>
      </c>
      <c r="AC151" s="26" t="e">
        <f>P151/(P151+Q151)</f>
        <v>#DIV/0!</v>
      </c>
      <c r="AD151" s="26">
        <f>V151/W151</f>
        <v>0.58823529411764708</v>
      </c>
    </row>
    <row r="152" spans="1:30" x14ac:dyDescent="0.2">
      <c r="A152" s="14" t="s">
        <v>246</v>
      </c>
      <c r="B152" s="10" t="s">
        <v>438</v>
      </c>
      <c r="C152" s="10" t="s">
        <v>404</v>
      </c>
      <c r="D152" s="10" t="s">
        <v>469</v>
      </c>
      <c r="E152" s="10" t="s">
        <v>462</v>
      </c>
      <c r="F152" s="10" t="s">
        <v>364</v>
      </c>
      <c r="G152" s="16">
        <v>4</v>
      </c>
      <c r="H152" s="16">
        <v>6</v>
      </c>
      <c r="I152" s="16">
        <v>2</v>
      </c>
      <c r="J152" s="16">
        <v>6</v>
      </c>
      <c r="K152" s="16">
        <v>2</v>
      </c>
      <c r="L152" s="16"/>
      <c r="M152" s="16"/>
      <c r="N152" s="16"/>
      <c r="O152" s="16"/>
      <c r="P152" s="16"/>
      <c r="Q152" s="16"/>
      <c r="R152" s="10" t="s">
        <v>402</v>
      </c>
      <c r="S152" s="10" t="s">
        <v>474</v>
      </c>
      <c r="T152" s="10" t="s">
        <v>452</v>
      </c>
      <c r="U152" s="16" t="s">
        <v>563</v>
      </c>
      <c r="V152" s="15">
        <f>H152+J152+L152+N152+P152</f>
        <v>12</v>
      </c>
      <c r="W152" s="15">
        <f>H152+I152+J152+K152+L152+M152+N152+O152+P152+Q152</f>
        <v>16</v>
      </c>
      <c r="X152" s="26">
        <f>V152/W152</f>
        <v>0.75</v>
      </c>
      <c r="Y152" s="26">
        <f>H152/(H152+I152)</f>
        <v>0.75</v>
      </c>
      <c r="Z152" s="26">
        <f>J152/(J152+K152)</f>
        <v>0.75</v>
      </c>
      <c r="AA152" s="26">
        <f>L153/(L153+M153)</f>
        <v>0.66666666666666663</v>
      </c>
      <c r="AB152" s="26" t="e">
        <f>N152/(N152+O152)</f>
        <v>#DIV/0!</v>
      </c>
      <c r="AC152" s="26" t="e">
        <f>P152/(P152+Q152)</f>
        <v>#DIV/0!</v>
      </c>
      <c r="AD152" s="26">
        <f>V152/W152</f>
        <v>0.75</v>
      </c>
    </row>
    <row r="153" spans="1:30" x14ac:dyDescent="0.2">
      <c r="A153" s="14" t="s">
        <v>246</v>
      </c>
      <c r="B153" s="10" t="s">
        <v>305</v>
      </c>
      <c r="C153" s="10" t="s">
        <v>239</v>
      </c>
      <c r="D153" s="10" t="s">
        <v>467</v>
      </c>
      <c r="E153" s="18" t="s">
        <v>442</v>
      </c>
      <c r="F153" s="10" t="s">
        <v>248</v>
      </c>
      <c r="G153" s="16">
        <v>1</v>
      </c>
      <c r="H153" s="16">
        <v>6</v>
      </c>
      <c r="I153" s="16">
        <v>2</v>
      </c>
      <c r="J153" s="16">
        <v>6</v>
      </c>
      <c r="K153" s="16">
        <v>3</v>
      </c>
      <c r="L153" s="16">
        <v>6</v>
      </c>
      <c r="M153" s="16">
        <v>3</v>
      </c>
      <c r="N153" s="16"/>
      <c r="O153" s="16"/>
      <c r="P153" s="16"/>
      <c r="Q153" s="16"/>
      <c r="R153" s="10" t="s">
        <v>247</v>
      </c>
      <c r="S153" s="10" t="s">
        <v>463</v>
      </c>
      <c r="T153" s="10" t="s">
        <v>453</v>
      </c>
      <c r="U153" s="16" t="s">
        <v>563</v>
      </c>
      <c r="V153" s="15">
        <f>H153+J153+L153+N153+P153</f>
        <v>18</v>
      </c>
      <c r="W153" s="15">
        <f>H153+I153+J153+K153+L153+M153+N153+O153+P153+Q153</f>
        <v>26</v>
      </c>
      <c r="X153" s="26">
        <f>V153/W153</f>
        <v>0.69230769230769229</v>
      </c>
      <c r="Y153" s="26">
        <f>H153/(H153+I153)</f>
        <v>0.75</v>
      </c>
      <c r="Z153" s="26">
        <f>J153/(J153+K153)</f>
        <v>0.66666666666666663</v>
      </c>
      <c r="AA153" s="26" t="e">
        <f>L154/(L154+M154)</f>
        <v>#DIV/0!</v>
      </c>
      <c r="AB153" s="26" t="e">
        <f>N153/(N153+O153)</f>
        <v>#DIV/0!</v>
      </c>
      <c r="AC153" s="26" t="e">
        <f>P153/(P153+Q153)</f>
        <v>#DIV/0!</v>
      </c>
      <c r="AD153" s="26">
        <f>V153/W153</f>
        <v>0.69230769230769229</v>
      </c>
    </row>
    <row r="154" spans="1:30" x14ac:dyDescent="0.2">
      <c r="A154" s="9" t="s">
        <v>249</v>
      </c>
      <c r="B154" s="10" t="s">
        <v>438</v>
      </c>
      <c r="C154" s="11" t="s">
        <v>404</v>
      </c>
      <c r="D154" s="11" t="s">
        <v>469</v>
      </c>
      <c r="E154" s="11" t="s">
        <v>462</v>
      </c>
      <c r="F154" s="11" t="s">
        <v>386</v>
      </c>
      <c r="G154" s="13">
        <v>1</v>
      </c>
      <c r="H154" s="13">
        <v>6</v>
      </c>
      <c r="I154" s="13">
        <v>3</v>
      </c>
      <c r="J154" s="13">
        <v>6</v>
      </c>
      <c r="K154" s="13">
        <v>3</v>
      </c>
      <c r="L154" s="13"/>
      <c r="M154" s="13"/>
      <c r="N154" s="13"/>
      <c r="O154" s="13"/>
      <c r="P154" s="13"/>
      <c r="Q154" s="13"/>
      <c r="R154" s="11" t="s">
        <v>405</v>
      </c>
      <c r="S154" s="11" t="s">
        <v>463</v>
      </c>
      <c r="T154" s="11" t="s">
        <v>453</v>
      </c>
      <c r="U154" s="13">
        <v>8</v>
      </c>
      <c r="V154" s="15">
        <f>H154+J154+L154+N154+P154</f>
        <v>12</v>
      </c>
      <c r="W154" s="15">
        <f>H154+I154+J154+K154+L154+M154+N154+O154+P154+Q154</f>
        <v>18</v>
      </c>
      <c r="X154" s="26">
        <f>V154/W154</f>
        <v>0.66666666666666663</v>
      </c>
      <c r="Y154" s="26">
        <f>H154/(H154+I154)</f>
        <v>0.66666666666666663</v>
      </c>
      <c r="Z154" s="26">
        <f>J154/(J154+K154)</f>
        <v>0.66666666666666663</v>
      </c>
      <c r="AA154" s="26">
        <f>L155/(L155+M155)</f>
        <v>0.75</v>
      </c>
      <c r="AB154" s="26" t="e">
        <f>N154/(N154+O154)</f>
        <v>#DIV/0!</v>
      </c>
      <c r="AC154" s="26" t="e">
        <f>P154/(P154+Q154)</f>
        <v>#DIV/0!</v>
      </c>
      <c r="AD154" s="26">
        <f>V154/W154</f>
        <v>0.66666666666666663</v>
      </c>
    </row>
    <row r="155" spans="1:30" x14ac:dyDescent="0.2">
      <c r="A155" s="9" t="s">
        <v>249</v>
      </c>
      <c r="B155" s="10" t="s">
        <v>305</v>
      </c>
      <c r="C155" s="11" t="s">
        <v>250</v>
      </c>
      <c r="D155" s="11" t="s">
        <v>476</v>
      </c>
      <c r="E155" s="11" t="s">
        <v>455</v>
      </c>
      <c r="F155" s="11" t="s">
        <v>228</v>
      </c>
      <c r="G155" s="13">
        <v>6</v>
      </c>
      <c r="H155" s="13">
        <v>6</v>
      </c>
      <c r="I155" s="13">
        <v>2</v>
      </c>
      <c r="J155" s="13">
        <v>6</v>
      </c>
      <c r="K155" s="13">
        <v>2</v>
      </c>
      <c r="L155" s="13">
        <v>6</v>
      </c>
      <c r="M155" s="13">
        <v>2</v>
      </c>
      <c r="N155" s="13"/>
      <c r="O155" s="13"/>
      <c r="P155" s="13"/>
      <c r="Q155" s="13"/>
      <c r="R155" s="11" t="s">
        <v>251</v>
      </c>
      <c r="S155" s="11" t="s">
        <v>485</v>
      </c>
      <c r="T155" s="11" t="s">
        <v>492</v>
      </c>
      <c r="U155" s="13">
        <v>9</v>
      </c>
      <c r="V155" s="15">
        <f>H155+J155+L155+N155+P155</f>
        <v>18</v>
      </c>
      <c r="W155" s="15">
        <f>H155+I155+J155+K155+L155+M155+N155+O155+P155+Q155</f>
        <v>24</v>
      </c>
      <c r="X155" s="26">
        <f>V155/W155</f>
        <v>0.75</v>
      </c>
      <c r="Y155" s="26">
        <f>H155/(H155+I155)</f>
        <v>0.75</v>
      </c>
      <c r="Z155" s="26">
        <f>J155/(J155+K155)</f>
        <v>0.75</v>
      </c>
      <c r="AA155" s="26" t="e">
        <f>L156/(L156+M156)</f>
        <v>#DIV/0!</v>
      </c>
      <c r="AB155" s="26" t="e">
        <f>N155/(N155+O155)</f>
        <v>#DIV/0!</v>
      </c>
      <c r="AC155" s="26" t="e">
        <f>P155/(P155+Q155)</f>
        <v>#DIV/0!</v>
      </c>
      <c r="AD155" s="26">
        <f>V155/W155</f>
        <v>0.75</v>
      </c>
    </row>
    <row r="156" spans="1:30" x14ac:dyDescent="0.2">
      <c r="A156" s="14" t="s">
        <v>252</v>
      </c>
      <c r="B156" s="10" t="s">
        <v>438</v>
      </c>
      <c r="C156" s="10" t="s">
        <v>404</v>
      </c>
      <c r="D156" s="10" t="s">
        <v>469</v>
      </c>
      <c r="E156" s="10" t="s">
        <v>462</v>
      </c>
      <c r="F156" s="10" t="s">
        <v>350</v>
      </c>
      <c r="G156" s="16">
        <v>2</v>
      </c>
      <c r="H156" s="16">
        <v>6</v>
      </c>
      <c r="I156" s="16">
        <v>2</v>
      </c>
      <c r="J156" s="16">
        <v>6</v>
      </c>
      <c r="K156" s="16">
        <v>3</v>
      </c>
      <c r="L156" s="16"/>
      <c r="M156" s="16"/>
      <c r="N156" s="16"/>
      <c r="O156" s="16"/>
      <c r="P156" s="16"/>
      <c r="Q156" s="16"/>
      <c r="R156" s="10" t="s">
        <v>406</v>
      </c>
      <c r="S156" s="10" t="s">
        <v>474</v>
      </c>
      <c r="T156" s="10" t="s">
        <v>452</v>
      </c>
      <c r="U156" s="16" t="s">
        <v>563</v>
      </c>
      <c r="V156" s="15">
        <f>H156+J156+L156+N156+P156</f>
        <v>12</v>
      </c>
      <c r="W156" s="15">
        <f>H156+I156+J156+K156+L156+M156+N156+O156+P156+Q156</f>
        <v>17</v>
      </c>
      <c r="X156" s="26">
        <f>V156/W156</f>
        <v>0.70588235294117652</v>
      </c>
      <c r="Y156" s="26">
        <f>H156/(H156+I156)</f>
        <v>0.75</v>
      </c>
      <c r="Z156" s="26">
        <f>J156/(J156+K156)</f>
        <v>0.66666666666666663</v>
      </c>
      <c r="AA156" s="26">
        <f>L157/(L157+M157)</f>
        <v>0.66666666666666663</v>
      </c>
      <c r="AB156" s="26" t="e">
        <f>N156/(N156+O156)</f>
        <v>#DIV/0!</v>
      </c>
      <c r="AC156" s="26" t="e">
        <f>P156/(P156+Q156)</f>
        <v>#DIV/0!</v>
      </c>
      <c r="AD156" s="26">
        <f>V156/W156</f>
        <v>0.70588235294117652</v>
      </c>
    </row>
    <row r="157" spans="1:30" x14ac:dyDescent="0.2">
      <c r="A157" s="14" t="s">
        <v>252</v>
      </c>
      <c r="B157" s="10" t="s">
        <v>305</v>
      </c>
      <c r="C157" s="10" t="s">
        <v>253</v>
      </c>
      <c r="D157" s="10" t="s">
        <v>473</v>
      </c>
      <c r="E157" s="10" t="s">
        <v>445</v>
      </c>
      <c r="F157" s="10" t="s">
        <v>518</v>
      </c>
      <c r="G157" s="16">
        <v>10</v>
      </c>
      <c r="H157" s="16">
        <v>4</v>
      </c>
      <c r="I157" s="16">
        <v>6</v>
      </c>
      <c r="J157" s="16">
        <v>6</v>
      </c>
      <c r="K157" s="16">
        <v>0</v>
      </c>
      <c r="L157" s="16">
        <v>6</v>
      </c>
      <c r="M157" s="16">
        <v>3</v>
      </c>
      <c r="N157" s="16">
        <v>7</v>
      </c>
      <c r="O157" s="16">
        <v>6</v>
      </c>
      <c r="P157" s="16"/>
      <c r="Q157" s="16"/>
      <c r="R157" s="10" t="s">
        <v>254</v>
      </c>
      <c r="S157" s="10" t="s">
        <v>475</v>
      </c>
      <c r="T157" s="10" t="s">
        <v>443</v>
      </c>
      <c r="U157" s="16" t="s">
        <v>563</v>
      </c>
      <c r="V157" s="15">
        <f>H157+J157+L157+N157+P157</f>
        <v>23</v>
      </c>
      <c r="W157" s="15">
        <f>H157+I157+J157+K157+L157+M157+N157+O157+P157+Q157</f>
        <v>38</v>
      </c>
      <c r="X157" s="26">
        <f>V157/W157</f>
        <v>0.60526315789473684</v>
      </c>
      <c r="Y157" s="26">
        <f>H157/(H157+I157)</f>
        <v>0.4</v>
      </c>
      <c r="Z157" s="26">
        <f>J157/(J157+K157)</f>
        <v>1</v>
      </c>
      <c r="AA157" s="26" t="e">
        <f>L158/(L158+M158)</f>
        <v>#DIV/0!</v>
      </c>
      <c r="AB157" s="26">
        <f>N157/(N157+O157)</f>
        <v>0.53846153846153844</v>
      </c>
      <c r="AC157" s="26" t="e">
        <f>P157/(P157+Q157)</f>
        <v>#DIV/0!</v>
      </c>
      <c r="AD157" s="26">
        <f>V157/W157</f>
        <v>0.60526315789473684</v>
      </c>
    </row>
    <row r="158" spans="1:30" x14ac:dyDescent="0.2">
      <c r="A158" s="9" t="s">
        <v>255</v>
      </c>
      <c r="B158" s="10" t="s">
        <v>438</v>
      </c>
      <c r="C158" s="11" t="s">
        <v>407</v>
      </c>
      <c r="D158" s="11" t="s">
        <v>467</v>
      </c>
      <c r="E158" s="11" t="s">
        <v>442</v>
      </c>
      <c r="F158" s="11" t="s">
        <v>309</v>
      </c>
      <c r="G158" s="13">
        <v>2</v>
      </c>
      <c r="H158" s="13">
        <v>6</v>
      </c>
      <c r="I158" s="13">
        <v>1</v>
      </c>
      <c r="J158" s="13">
        <v>7</v>
      </c>
      <c r="K158" s="13">
        <v>5</v>
      </c>
      <c r="L158" s="13"/>
      <c r="M158" s="13"/>
      <c r="N158" s="13"/>
      <c r="O158" s="13"/>
      <c r="P158" s="13"/>
      <c r="Q158" s="13"/>
      <c r="R158" s="11" t="s">
        <v>404</v>
      </c>
      <c r="S158" s="11" t="s">
        <v>469</v>
      </c>
      <c r="T158" s="11" t="s">
        <v>462</v>
      </c>
      <c r="U158" s="13">
        <v>1</v>
      </c>
      <c r="V158" s="15">
        <f>H158+J158+L158+N158+P158</f>
        <v>13</v>
      </c>
      <c r="W158" s="15">
        <f>H158+I158+J158+K158+L158+M158+N158+O158+P158+Q158</f>
        <v>19</v>
      </c>
      <c r="X158" s="26">
        <f>V158/W158</f>
        <v>0.68421052631578949</v>
      </c>
      <c r="Y158" s="26">
        <f>H158/(H158+I158)</f>
        <v>0.8571428571428571</v>
      </c>
      <c r="Z158" s="26">
        <f>J158/(J158+K158)</f>
        <v>0.58333333333333337</v>
      </c>
      <c r="AA158" s="26">
        <f>L159/(L159+M159)</f>
        <v>0.75</v>
      </c>
      <c r="AB158" s="26" t="e">
        <f>N158/(N158+O158)</f>
        <v>#DIV/0!</v>
      </c>
      <c r="AC158" s="26" t="e">
        <f>P158/(P158+Q158)</f>
        <v>#DIV/0!</v>
      </c>
      <c r="AD158" s="26">
        <f>V158/W158</f>
        <v>0.68421052631578949</v>
      </c>
    </row>
    <row r="159" spans="1:30" x14ac:dyDescent="0.2">
      <c r="A159" s="9" t="s">
        <v>255</v>
      </c>
      <c r="B159" s="10" t="s">
        <v>305</v>
      </c>
      <c r="C159" s="11" t="s">
        <v>242</v>
      </c>
      <c r="D159" s="11" t="s">
        <v>467</v>
      </c>
      <c r="E159" s="11" t="s">
        <v>442</v>
      </c>
      <c r="F159" s="11" t="s">
        <v>256</v>
      </c>
      <c r="G159" s="13">
        <v>1</v>
      </c>
      <c r="H159" s="13">
        <v>3</v>
      </c>
      <c r="I159" s="13">
        <v>6</v>
      </c>
      <c r="J159" s="13">
        <v>6</v>
      </c>
      <c r="K159" s="13">
        <v>3</v>
      </c>
      <c r="L159" s="13">
        <v>6</v>
      </c>
      <c r="M159" s="13">
        <v>2</v>
      </c>
      <c r="N159" s="13">
        <v>6</v>
      </c>
      <c r="O159" s="13">
        <v>4</v>
      </c>
      <c r="P159" s="13"/>
      <c r="Q159" s="13"/>
      <c r="R159" s="11" t="s">
        <v>253</v>
      </c>
      <c r="S159" s="11" t="s">
        <v>473</v>
      </c>
      <c r="T159" s="11" t="s">
        <v>445</v>
      </c>
      <c r="U159" s="13">
        <v>2</v>
      </c>
      <c r="V159" s="15">
        <f>H159+J159+L159+N159+P159</f>
        <v>21</v>
      </c>
      <c r="W159" s="15">
        <f>H159+I159+J159+K159+L159+M159+N159+O159+P159+Q159</f>
        <v>36</v>
      </c>
      <c r="X159" s="26">
        <f>V159/W159</f>
        <v>0.58333333333333337</v>
      </c>
      <c r="Y159" s="26">
        <f>H159/(H159+I159)</f>
        <v>0.33333333333333331</v>
      </c>
      <c r="Z159" s="26">
        <f>J159/(J159+K159)</f>
        <v>0.66666666666666663</v>
      </c>
      <c r="AA159" s="26" t="e">
        <f>L160/(L160+M160)</f>
        <v>#DIV/0!</v>
      </c>
      <c r="AB159" s="26">
        <f>N159/(N159+O159)</f>
        <v>0.6</v>
      </c>
      <c r="AC159" s="26" t="e">
        <f>P159/(P159+Q159)</f>
        <v>#DIV/0!</v>
      </c>
      <c r="AD159" s="26">
        <f>V159/W159</f>
        <v>0.58333333333333337</v>
      </c>
    </row>
    <row r="160" spans="1:30" x14ac:dyDescent="0.2">
      <c r="A160" s="14" t="s">
        <v>257</v>
      </c>
      <c r="B160" s="10" t="s">
        <v>438</v>
      </c>
      <c r="C160" s="10" t="s">
        <v>408</v>
      </c>
      <c r="D160" s="10" t="s">
        <v>467</v>
      </c>
      <c r="E160" s="18" t="s">
        <v>442</v>
      </c>
      <c r="F160" s="10" t="s">
        <v>326</v>
      </c>
      <c r="G160" s="16">
        <v>12</v>
      </c>
      <c r="H160" s="16">
        <v>6</v>
      </c>
      <c r="I160" s="16">
        <v>4</v>
      </c>
      <c r="J160" s="16">
        <v>6</v>
      </c>
      <c r="K160" s="16">
        <v>3</v>
      </c>
      <c r="L160" s="16"/>
      <c r="M160" s="16"/>
      <c r="N160" s="16"/>
      <c r="O160" s="16"/>
      <c r="P160" s="16"/>
      <c r="Q160" s="16"/>
      <c r="R160" s="10" t="s">
        <v>404</v>
      </c>
      <c r="S160" s="10" t="s">
        <v>469</v>
      </c>
      <c r="T160" s="10" t="s">
        <v>462</v>
      </c>
      <c r="U160" s="16">
        <v>1</v>
      </c>
      <c r="V160" s="15">
        <f>H160+J160+L160+N160+P160</f>
        <v>12</v>
      </c>
      <c r="W160" s="15">
        <f>H160+I160+J160+K160+L160+M160+N160+O160+P160+Q160</f>
        <v>19</v>
      </c>
      <c r="X160" s="26">
        <f>V160/W160</f>
        <v>0.63157894736842102</v>
      </c>
      <c r="Y160" s="26">
        <f>H160/(H160+I160)</f>
        <v>0.6</v>
      </c>
      <c r="Z160" s="26">
        <f>J160/(J160+K160)</f>
        <v>0.66666666666666663</v>
      </c>
      <c r="AA160" s="26">
        <f>L161/(L161+M161)</f>
        <v>0.75</v>
      </c>
      <c r="AB160" s="26" t="e">
        <f>N160/(N160+O160)</f>
        <v>#DIV/0!</v>
      </c>
      <c r="AC160" s="26" t="e">
        <f>P160/(P160+Q160)</f>
        <v>#DIV/0!</v>
      </c>
      <c r="AD160" s="26">
        <f>V160/W160</f>
        <v>0.63157894736842102</v>
      </c>
    </row>
    <row r="161" spans="1:30" x14ac:dyDescent="0.2">
      <c r="A161" s="14" t="s">
        <v>257</v>
      </c>
      <c r="B161" s="10" t="s">
        <v>305</v>
      </c>
      <c r="C161" s="10" t="s">
        <v>242</v>
      </c>
      <c r="D161" s="10" t="s">
        <v>467</v>
      </c>
      <c r="E161" s="18" t="s">
        <v>442</v>
      </c>
      <c r="F161" s="10" t="s">
        <v>259</v>
      </c>
      <c r="G161" s="16">
        <v>6</v>
      </c>
      <c r="H161" s="16">
        <v>6</v>
      </c>
      <c r="I161" s="16">
        <v>4</v>
      </c>
      <c r="J161" s="16">
        <v>6</v>
      </c>
      <c r="K161" s="16">
        <v>2</v>
      </c>
      <c r="L161" s="16">
        <v>6</v>
      </c>
      <c r="M161" s="16">
        <v>2</v>
      </c>
      <c r="N161" s="16"/>
      <c r="O161" s="16"/>
      <c r="P161" s="16"/>
      <c r="Q161" s="16"/>
      <c r="R161" s="10" t="s">
        <v>258</v>
      </c>
      <c r="S161" s="10" t="s">
        <v>474</v>
      </c>
      <c r="T161" s="10" t="s">
        <v>452</v>
      </c>
      <c r="U161" s="16">
        <v>15</v>
      </c>
      <c r="V161" s="15">
        <f>H161+J161+L161+N161+P161</f>
        <v>18</v>
      </c>
      <c r="W161" s="15">
        <f>H161+I161+J161+K161+L161+M161+N161+O161+P161+Q161</f>
        <v>26</v>
      </c>
      <c r="X161" s="26">
        <f>V161/W161</f>
        <v>0.69230769230769229</v>
      </c>
      <c r="Y161" s="26">
        <f>H161/(H161+I161)</f>
        <v>0.6</v>
      </c>
      <c r="Z161" s="26">
        <f>J161/(J161+K161)</f>
        <v>0.75</v>
      </c>
      <c r="AA161" s="26">
        <f>L162/(L162+M162)</f>
        <v>0.75</v>
      </c>
      <c r="AB161" s="26" t="e">
        <f>N161/(N161+O161)</f>
        <v>#DIV/0!</v>
      </c>
      <c r="AC161" s="26" t="e">
        <f>P161/(P161+Q161)</f>
        <v>#DIV/0!</v>
      </c>
      <c r="AD161" s="26">
        <f>V161/W161</f>
        <v>0.69230769230769229</v>
      </c>
    </row>
    <row r="162" spans="1:30" x14ac:dyDescent="0.2">
      <c r="A162" s="9" t="s">
        <v>260</v>
      </c>
      <c r="B162" s="10" t="s">
        <v>438</v>
      </c>
      <c r="C162" s="11" t="s">
        <v>408</v>
      </c>
      <c r="D162" s="11" t="s">
        <v>467</v>
      </c>
      <c r="E162" s="11" t="s">
        <v>442</v>
      </c>
      <c r="F162" s="11" t="s">
        <v>539</v>
      </c>
      <c r="G162" s="13">
        <v>1</v>
      </c>
      <c r="H162" s="13">
        <v>4</v>
      </c>
      <c r="I162" s="13">
        <v>6</v>
      </c>
      <c r="J162" s="13">
        <v>7</v>
      </c>
      <c r="K162" s="13">
        <v>6</v>
      </c>
      <c r="L162" s="13">
        <v>6</v>
      </c>
      <c r="M162" s="13">
        <v>2</v>
      </c>
      <c r="N162" s="13"/>
      <c r="O162" s="13"/>
      <c r="P162" s="13"/>
      <c r="Q162" s="13"/>
      <c r="R162" s="11" t="s">
        <v>404</v>
      </c>
      <c r="S162" s="11" t="s">
        <v>469</v>
      </c>
      <c r="T162" s="11" t="s">
        <v>462</v>
      </c>
      <c r="U162" s="13">
        <v>3</v>
      </c>
      <c r="V162" s="15">
        <f>H162+J162+L162+N162+P162</f>
        <v>17</v>
      </c>
      <c r="W162" s="15">
        <f>H162+I162+J162+K162+L162+M162+N162+O162+P162+Q162</f>
        <v>31</v>
      </c>
      <c r="X162" s="26">
        <f>V162/W162</f>
        <v>0.54838709677419351</v>
      </c>
      <c r="Y162" s="26">
        <f>H162/(H162+I162)</f>
        <v>0.4</v>
      </c>
      <c r="Z162" s="26">
        <f>J162/(J162+K162)</f>
        <v>0.53846153846153844</v>
      </c>
      <c r="AA162" s="26">
        <f>L163/(L163+M163)</f>
        <v>0.6</v>
      </c>
      <c r="AB162" s="26" t="e">
        <f>N162/(N162+O162)</f>
        <v>#DIV/0!</v>
      </c>
      <c r="AC162" s="26" t="e">
        <f>P162/(P162+Q162)</f>
        <v>#DIV/0!</v>
      </c>
      <c r="AD162" s="26">
        <f>V162/W162</f>
        <v>0.54838709677419351</v>
      </c>
    </row>
    <row r="163" spans="1:30" x14ac:dyDescent="0.2">
      <c r="A163" s="9" t="s">
        <v>260</v>
      </c>
      <c r="B163" s="10" t="s">
        <v>305</v>
      </c>
      <c r="C163" s="11" t="s">
        <v>261</v>
      </c>
      <c r="D163" s="11" t="s">
        <v>475</v>
      </c>
      <c r="E163" s="11" t="s">
        <v>443</v>
      </c>
      <c r="F163" s="11" t="s">
        <v>519</v>
      </c>
      <c r="G163" s="13">
        <v>16</v>
      </c>
      <c r="H163" s="13">
        <v>3</v>
      </c>
      <c r="I163" s="13">
        <v>6</v>
      </c>
      <c r="J163" s="13">
        <v>6</v>
      </c>
      <c r="K163" s="13">
        <v>4</v>
      </c>
      <c r="L163" s="13">
        <v>6</v>
      </c>
      <c r="M163" s="13">
        <v>4</v>
      </c>
      <c r="N163" s="13">
        <v>7</v>
      </c>
      <c r="O163" s="13">
        <v>6</v>
      </c>
      <c r="P163" s="13"/>
      <c r="Q163" s="13"/>
      <c r="R163" s="11" t="s">
        <v>262</v>
      </c>
      <c r="S163" s="11" t="s">
        <v>473</v>
      </c>
      <c r="T163" s="11" t="s">
        <v>445</v>
      </c>
      <c r="U163" s="13">
        <v>9</v>
      </c>
      <c r="V163" s="15">
        <f>H163+J163+L163+N163+P163</f>
        <v>22</v>
      </c>
      <c r="W163" s="15">
        <f>H163+I163+J163+K163+L163+M163+N163+O163+P163+Q163</f>
        <v>42</v>
      </c>
      <c r="X163" s="26">
        <f>V163/W163</f>
        <v>0.52380952380952384</v>
      </c>
      <c r="Y163" s="26">
        <f>H163/(H163+I163)</f>
        <v>0.33333333333333331</v>
      </c>
      <c r="Z163" s="26">
        <f>J163/(J163+K163)</f>
        <v>0.6</v>
      </c>
      <c r="AA163" s="26">
        <f>L164/(L164+M164)</f>
        <v>0.6</v>
      </c>
      <c r="AB163" s="26">
        <f>N163/(N163+O163)</f>
        <v>0.53846153846153844</v>
      </c>
      <c r="AC163" s="26" t="e">
        <f>P163/(P163+Q163)</f>
        <v>#DIV/0!</v>
      </c>
      <c r="AD163" s="26">
        <f>V163/W163</f>
        <v>0.52380952380952384</v>
      </c>
    </row>
    <row r="164" spans="1:30" x14ac:dyDescent="0.2">
      <c r="A164" s="14" t="s">
        <v>263</v>
      </c>
      <c r="B164" s="10" t="s">
        <v>438</v>
      </c>
      <c r="C164" s="10" t="s">
        <v>409</v>
      </c>
      <c r="D164" s="10" t="s">
        <v>467</v>
      </c>
      <c r="E164" s="18" t="s">
        <v>442</v>
      </c>
      <c r="F164" s="10" t="s">
        <v>540</v>
      </c>
      <c r="G164" s="16">
        <v>1</v>
      </c>
      <c r="H164" s="16">
        <v>7</v>
      </c>
      <c r="I164" s="16">
        <v>6</v>
      </c>
      <c r="J164" s="16">
        <v>3</v>
      </c>
      <c r="K164" s="16">
        <v>6</v>
      </c>
      <c r="L164" s="16">
        <v>6</v>
      </c>
      <c r="M164" s="16">
        <v>4</v>
      </c>
      <c r="N164" s="16"/>
      <c r="O164" s="16"/>
      <c r="P164" s="16"/>
      <c r="Q164" s="16"/>
      <c r="R164" s="10" t="s">
        <v>410</v>
      </c>
      <c r="S164" s="10" t="s">
        <v>467</v>
      </c>
      <c r="T164" s="10" t="s">
        <v>442</v>
      </c>
      <c r="U164" s="16">
        <v>2</v>
      </c>
      <c r="V164" s="15">
        <f>H164+J164+L164+N164+P164</f>
        <v>16</v>
      </c>
      <c r="W164" s="15">
        <f>H164+I164+J164+K164+L164+M164+N164+O164+P164+Q164</f>
        <v>32</v>
      </c>
      <c r="X164" s="26">
        <f>V164/W164</f>
        <v>0.5</v>
      </c>
      <c r="Y164" s="26">
        <f>H164/(H164+I164)</f>
        <v>0.53846153846153844</v>
      </c>
      <c r="Z164" s="26">
        <f>J164/(J164+K164)</f>
        <v>0.33333333333333331</v>
      </c>
      <c r="AA164" s="26">
        <f>L165/(L165+M165)</f>
        <v>0.8571428571428571</v>
      </c>
      <c r="AB164" s="26" t="e">
        <f>N164/(N164+O164)</f>
        <v>#DIV/0!</v>
      </c>
      <c r="AC164" s="26" t="e">
        <f>P164/(P164+Q164)</f>
        <v>#DIV/0!</v>
      </c>
      <c r="AD164" s="26">
        <f>V164/W164</f>
        <v>0.5</v>
      </c>
    </row>
    <row r="165" spans="1:30" x14ac:dyDescent="0.2">
      <c r="A165" s="14" t="s">
        <v>263</v>
      </c>
      <c r="B165" s="10" t="s">
        <v>305</v>
      </c>
      <c r="C165" s="10" t="s">
        <v>242</v>
      </c>
      <c r="D165" s="10" t="s">
        <v>467</v>
      </c>
      <c r="E165" s="18" t="s">
        <v>442</v>
      </c>
      <c r="F165" s="10" t="s">
        <v>265</v>
      </c>
      <c r="G165" s="16">
        <v>2</v>
      </c>
      <c r="H165" s="16">
        <v>6</v>
      </c>
      <c r="I165" s="16">
        <v>2</v>
      </c>
      <c r="J165" s="16">
        <v>6</v>
      </c>
      <c r="K165" s="16">
        <v>2</v>
      </c>
      <c r="L165" s="16">
        <v>6</v>
      </c>
      <c r="M165" s="16">
        <v>1</v>
      </c>
      <c r="N165" s="16"/>
      <c r="O165" s="16"/>
      <c r="P165" s="16"/>
      <c r="Q165" s="16"/>
      <c r="R165" s="10" t="s">
        <v>264</v>
      </c>
      <c r="S165" s="10" t="s">
        <v>451</v>
      </c>
      <c r="T165" s="10" t="s">
        <v>449</v>
      </c>
      <c r="U165" s="16">
        <v>31</v>
      </c>
      <c r="V165" s="15">
        <f>H165+J165+L165+N165+P165</f>
        <v>18</v>
      </c>
      <c r="W165" s="15">
        <f>H165+I165+J165+K165+L165+M165+N165+O165+P165+Q165</f>
        <v>23</v>
      </c>
      <c r="X165" s="26">
        <f>V165/W165</f>
        <v>0.78260869565217395</v>
      </c>
      <c r="Y165" s="26">
        <f>H165/(H165+I165)</f>
        <v>0.75</v>
      </c>
      <c r="Z165" s="26">
        <f>J165/(J165+K165)</f>
        <v>0.75</v>
      </c>
      <c r="AA165" s="26">
        <f>L166/(L166+M166)</f>
        <v>0.66666666666666663</v>
      </c>
      <c r="AB165" s="26" t="e">
        <f>N165/(N165+O165)</f>
        <v>#DIV/0!</v>
      </c>
      <c r="AC165" s="26" t="e">
        <f>P165/(P165+Q165)</f>
        <v>#DIV/0!</v>
      </c>
      <c r="AD165" s="26">
        <f>V165/W165</f>
        <v>0.78260869565217395</v>
      </c>
    </row>
    <row r="166" spans="1:30" x14ac:dyDescent="0.2">
      <c r="A166" s="9" t="s">
        <v>266</v>
      </c>
      <c r="B166" s="10" t="s">
        <v>438</v>
      </c>
      <c r="C166" s="11" t="s">
        <v>411</v>
      </c>
      <c r="D166" s="11" t="s">
        <v>472</v>
      </c>
      <c r="E166" s="11" t="s">
        <v>459</v>
      </c>
      <c r="F166" s="11" t="s">
        <v>413</v>
      </c>
      <c r="G166" s="13">
        <v>1</v>
      </c>
      <c r="H166" s="13">
        <v>6</v>
      </c>
      <c r="I166" s="13">
        <v>3</v>
      </c>
      <c r="J166" s="13">
        <v>4</v>
      </c>
      <c r="K166" s="13">
        <v>6</v>
      </c>
      <c r="L166" s="13">
        <v>6</v>
      </c>
      <c r="M166" s="13">
        <v>3</v>
      </c>
      <c r="N166" s="13"/>
      <c r="O166" s="13"/>
      <c r="P166" s="13"/>
      <c r="Q166" s="13"/>
      <c r="R166" s="11" t="s">
        <v>412</v>
      </c>
      <c r="S166" s="11" t="s">
        <v>472</v>
      </c>
      <c r="T166" s="11" t="s">
        <v>459</v>
      </c>
      <c r="U166" s="13">
        <v>2</v>
      </c>
      <c r="V166" s="15">
        <f>H166+J166+L166+N166+P166</f>
        <v>16</v>
      </c>
      <c r="W166" s="15">
        <f>H166+I166+J166+K166+L166+M166+N166+O166+P166+Q166</f>
        <v>28</v>
      </c>
      <c r="X166" s="26">
        <f>V166/W166</f>
        <v>0.5714285714285714</v>
      </c>
      <c r="Y166" s="26">
        <f>H166/(H166+I166)</f>
        <v>0.66666666666666663</v>
      </c>
      <c r="Z166" s="26">
        <f>J166/(J166+K166)</f>
        <v>0.4</v>
      </c>
      <c r="AA166" s="26">
        <f>L167/(L167+M167)</f>
        <v>0.75</v>
      </c>
      <c r="AB166" s="26" t="e">
        <f>N166/(N166+O166)</f>
        <v>#DIV/0!</v>
      </c>
      <c r="AC166" s="26" t="e">
        <f>P166/(P166+Q166)</f>
        <v>#DIV/0!</v>
      </c>
      <c r="AD166" s="26">
        <f>V166/W166</f>
        <v>0.5714285714285714</v>
      </c>
    </row>
    <row r="167" spans="1:30" x14ac:dyDescent="0.2">
      <c r="A167" s="9" t="s">
        <v>266</v>
      </c>
      <c r="B167" s="10" t="s">
        <v>305</v>
      </c>
      <c r="C167" s="11" t="s">
        <v>267</v>
      </c>
      <c r="D167" s="11" t="s">
        <v>469</v>
      </c>
      <c r="E167" s="11" t="s">
        <v>462</v>
      </c>
      <c r="F167" s="11" t="s">
        <v>520</v>
      </c>
      <c r="G167" s="13">
        <v>2</v>
      </c>
      <c r="H167" s="13">
        <v>7</v>
      </c>
      <c r="I167" s="13">
        <v>6</v>
      </c>
      <c r="J167" s="13">
        <v>6</v>
      </c>
      <c r="K167" s="13">
        <v>4</v>
      </c>
      <c r="L167" s="13">
        <v>6</v>
      </c>
      <c r="M167" s="13">
        <v>2</v>
      </c>
      <c r="N167" s="13"/>
      <c r="O167" s="13"/>
      <c r="P167" s="13"/>
      <c r="Q167" s="13"/>
      <c r="R167" s="11" t="s">
        <v>262</v>
      </c>
      <c r="S167" s="11" t="s">
        <v>473</v>
      </c>
      <c r="T167" s="11" t="s">
        <v>445</v>
      </c>
      <c r="U167" s="13" t="s">
        <v>563</v>
      </c>
      <c r="V167" s="15">
        <f>H167+J167+L167+N167+P167</f>
        <v>19</v>
      </c>
      <c r="W167" s="15">
        <f>H167+I167+J167+K167+L167+M167+N167+O167+P167+Q167</f>
        <v>31</v>
      </c>
      <c r="X167" s="26">
        <f>V167/W167</f>
        <v>0.61290322580645162</v>
      </c>
      <c r="Y167" s="26">
        <f>H167/(H167+I167)</f>
        <v>0.53846153846153844</v>
      </c>
      <c r="Z167" s="26">
        <f>J167/(J167+K167)</f>
        <v>0.6</v>
      </c>
      <c r="AA167" s="26">
        <f>L168/(L168+M168)</f>
        <v>1</v>
      </c>
      <c r="AB167" s="26" t="e">
        <f>N167/(N167+O167)</f>
        <v>#DIV/0!</v>
      </c>
      <c r="AC167" s="26" t="e">
        <f>P167/(P167+Q167)</f>
        <v>#DIV/0!</v>
      </c>
      <c r="AD167" s="26">
        <f>V167/W167</f>
        <v>0.61290322580645162</v>
      </c>
    </row>
    <row r="168" spans="1:30" x14ac:dyDescent="0.2">
      <c r="A168" s="14" t="s">
        <v>268</v>
      </c>
      <c r="B168" s="10" t="s">
        <v>438</v>
      </c>
      <c r="C168" s="10" t="s">
        <v>409</v>
      </c>
      <c r="D168" s="10" t="s">
        <v>467</v>
      </c>
      <c r="E168" s="18" t="s">
        <v>442</v>
      </c>
      <c r="F168" s="10" t="s">
        <v>414</v>
      </c>
      <c r="G168" s="16">
        <v>7</v>
      </c>
      <c r="H168" s="16">
        <v>2</v>
      </c>
      <c r="I168" s="16">
        <v>6</v>
      </c>
      <c r="J168" s="16">
        <v>6</v>
      </c>
      <c r="K168" s="16">
        <v>3</v>
      </c>
      <c r="L168" s="16">
        <v>6</v>
      </c>
      <c r="M168" s="16">
        <v>0</v>
      </c>
      <c r="N168" s="16"/>
      <c r="O168" s="16"/>
      <c r="P168" s="16"/>
      <c r="Q168" s="16"/>
      <c r="R168" s="10" t="s">
        <v>407</v>
      </c>
      <c r="S168" s="10" t="s">
        <v>467</v>
      </c>
      <c r="T168" s="10" t="s">
        <v>442</v>
      </c>
      <c r="U168" s="16">
        <v>1</v>
      </c>
      <c r="V168" s="15">
        <f>H168+J168+L168+N168+P168</f>
        <v>14</v>
      </c>
      <c r="W168" s="15">
        <f>H168+I168+J168+K168+L168+M168+N168+O168+P168+Q168</f>
        <v>23</v>
      </c>
      <c r="X168" s="26">
        <f>V168/W168</f>
        <v>0.60869565217391308</v>
      </c>
      <c r="Y168" s="26">
        <f>H168/(H168+I168)</f>
        <v>0.25</v>
      </c>
      <c r="Z168" s="26">
        <f>J168/(J168+K168)</f>
        <v>0.66666666666666663</v>
      </c>
      <c r="AA168" s="26">
        <f>L169/(L169+M169)</f>
        <v>0.6</v>
      </c>
      <c r="AB168" s="26" t="e">
        <f>N168/(N168+O168)</f>
        <v>#DIV/0!</v>
      </c>
      <c r="AC168" s="26" t="e">
        <f>P168/(P168+Q168)</f>
        <v>#DIV/0!</v>
      </c>
      <c r="AD168" s="26">
        <f>V168/W168</f>
        <v>0.60869565217391308</v>
      </c>
    </row>
    <row r="169" spans="1:30" x14ac:dyDescent="0.2">
      <c r="A169" s="14" t="s">
        <v>268</v>
      </c>
      <c r="B169" s="10" t="s">
        <v>305</v>
      </c>
      <c r="C169" s="10" t="s">
        <v>262</v>
      </c>
      <c r="D169" s="10" t="s">
        <v>473</v>
      </c>
      <c r="E169" s="10" t="s">
        <v>445</v>
      </c>
      <c r="F169" s="10" t="s">
        <v>270</v>
      </c>
      <c r="G169" s="16">
        <v>4</v>
      </c>
      <c r="H169" s="16">
        <v>1</v>
      </c>
      <c r="I169" s="16">
        <v>6</v>
      </c>
      <c r="J169" s="16">
        <v>6</v>
      </c>
      <c r="K169" s="16">
        <v>3</v>
      </c>
      <c r="L169" s="16">
        <v>6</v>
      </c>
      <c r="M169" s="16">
        <v>4</v>
      </c>
      <c r="N169" s="16">
        <v>6</v>
      </c>
      <c r="O169" s="16">
        <v>4</v>
      </c>
      <c r="P169" s="16"/>
      <c r="Q169" s="16"/>
      <c r="R169" s="10" t="s">
        <v>269</v>
      </c>
      <c r="S169" s="10" t="s">
        <v>464</v>
      </c>
      <c r="T169" s="10" t="s">
        <v>460</v>
      </c>
      <c r="U169" s="16">
        <v>3</v>
      </c>
      <c r="V169" s="15">
        <f>H169+J169+L169+N169+P169</f>
        <v>19</v>
      </c>
      <c r="W169" s="15">
        <f>H169+I169+J169+K169+L169+M169+N169+O169+P169+Q169</f>
        <v>36</v>
      </c>
      <c r="X169" s="26">
        <f>V169/W169</f>
        <v>0.52777777777777779</v>
      </c>
      <c r="Y169" s="26">
        <f>H169/(H169+I169)</f>
        <v>0.14285714285714285</v>
      </c>
      <c r="Z169" s="26">
        <f>J169/(J169+K169)</f>
        <v>0.66666666666666663</v>
      </c>
      <c r="AA169" s="26" t="e">
        <f>L170/(L170+M170)</f>
        <v>#DIV/0!</v>
      </c>
      <c r="AB169" s="26">
        <f>N169/(N169+O169)</f>
        <v>0.6</v>
      </c>
      <c r="AC169" s="26" t="e">
        <f>P169/(P169+Q169)</f>
        <v>#DIV/0!</v>
      </c>
      <c r="AD169" s="26">
        <f>V169/W169</f>
        <v>0.52777777777777779</v>
      </c>
    </row>
    <row r="170" spans="1:30" x14ac:dyDescent="0.2">
      <c r="A170" s="9" t="s">
        <v>271</v>
      </c>
      <c r="B170" s="10" t="s">
        <v>438</v>
      </c>
      <c r="C170" s="11" t="s">
        <v>406</v>
      </c>
      <c r="D170" s="11" t="s">
        <v>474</v>
      </c>
      <c r="E170" s="11" t="s">
        <v>452</v>
      </c>
      <c r="F170" s="11" t="s">
        <v>415</v>
      </c>
      <c r="G170" s="13">
        <v>3</v>
      </c>
      <c r="H170" s="13">
        <v>6</v>
      </c>
      <c r="I170" s="13">
        <v>1</v>
      </c>
      <c r="J170" s="13">
        <v>2</v>
      </c>
      <c r="K170" s="13">
        <v>0</v>
      </c>
      <c r="L170" s="13"/>
      <c r="M170" s="13"/>
      <c r="N170" s="13"/>
      <c r="O170" s="13"/>
      <c r="P170" s="13"/>
      <c r="Q170" s="13"/>
      <c r="R170" s="11" t="s">
        <v>411</v>
      </c>
      <c r="S170" s="11" t="s">
        <v>472</v>
      </c>
      <c r="T170" s="11" t="s">
        <v>459</v>
      </c>
      <c r="U170" s="13">
        <v>8</v>
      </c>
      <c r="V170" s="15">
        <f>H170+J170+L170+N170+P170</f>
        <v>8</v>
      </c>
      <c r="W170" s="15">
        <f>H170+I170+J170+K170+L170+M170+N170+O170+P170+Q170</f>
        <v>9</v>
      </c>
      <c r="X170" s="26">
        <f>V170/W170</f>
        <v>0.88888888888888884</v>
      </c>
      <c r="Y170" s="26">
        <f>H170/(H170+I170)</f>
        <v>0.8571428571428571</v>
      </c>
      <c r="Z170" s="26">
        <f>J170/(J170+K170)</f>
        <v>1</v>
      </c>
      <c r="AA170" s="26">
        <f>L171/(L171+M171)</f>
        <v>1</v>
      </c>
      <c r="AB170" s="26" t="e">
        <f>N170/(N170+O170)</f>
        <v>#DIV/0!</v>
      </c>
      <c r="AC170" s="26" t="e">
        <f>P170/(P170+Q170)</f>
        <v>#DIV/0!</v>
      </c>
      <c r="AD170" s="26">
        <f>V170/W170</f>
        <v>0.88888888888888884</v>
      </c>
    </row>
    <row r="171" spans="1:30" x14ac:dyDescent="0.2">
      <c r="A171" s="9" t="s">
        <v>271</v>
      </c>
      <c r="B171" s="10" t="s">
        <v>305</v>
      </c>
      <c r="C171" s="11" t="s">
        <v>267</v>
      </c>
      <c r="D171" s="11" t="s">
        <v>469</v>
      </c>
      <c r="E171" s="11" t="s">
        <v>462</v>
      </c>
      <c r="F171" s="11" t="s">
        <v>273</v>
      </c>
      <c r="G171" s="13">
        <v>1</v>
      </c>
      <c r="H171" s="13">
        <v>5</v>
      </c>
      <c r="I171" s="13">
        <v>7</v>
      </c>
      <c r="J171" s="13">
        <v>7</v>
      </c>
      <c r="K171" s="13">
        <v>5</v>
      </c>
      <c r="L171" s="13">
        <v>6</v>
      </c>
      <c r="M171" s="13">
        <v>0</v>
      </c>
      <c r="N171" s="13">
        <v>6</v>
      </c>
      <c r="O171" s="13">
        <v>2</v>
      </c>
      <c r="P171" s="13"/>
      <c r="Q171" s="13"/>
      <c r="R171" s="11" t="s">
        <v>272</v>
      </c>
      <c r="S171" s="11" t="s">
        <v>486</v>
      </c>
      <c r="T171" s="11" t="s">
        <v>491</v>
      </c>
      <c r="U171" s="13" t="s">
        <v>563</v>
      </c>
      <c r="V171" s="15">
        <f>H171+J171+L171+N171+P171</f>
        <v>24</v>
      </c>
      <c r="W171" s="15">
        <f>H171+I171+J171+K171+L171+M171+N171+O171+P171+Q171</f>
        <v>38</v>
      </c>
      <c r="X171" s="26">
        <f>V171/W171</f>
        <v>0.63157894736842102</v>
      </c>
      <c r="Y171" s="26">
        <f>H171/(H171+I171)</f>
        <v>0.41666666666666669</v>
      </c>
      <c r="Z171" s="26">
        <f>J171/(J171+K171)</f>
        <v>0.58333333333333337</v>
      </c>
      <c r="AA171" s="26" t="e">
        <f>L172/(L172+M172)</f>
        <v>#DIV/0!</v>
      </c>
      <c r="AB171" s="26">
        <f>N171/(N171+O171)</f>
        <v>0.75</v>
      </c>
      <c r="AC171" s="26" t="e">
        <f>P171/(P171+Q171)</f>
        <v>#DIV/0!</v>
      </c>
      <c r="AD171" s="26">
        <f>V171/W171</f>
        <v>0.63157894736842102</v>
      </c>
    </row>
    <row r="172" spans="1:30" x14ac:dyDescent="0.2">
      <c r="A172" s="14" t="s">
        <v>274</v>
      </c>
      <c r="B172" s="10" t="s">
        <v>438</v>
      </c>
      <c r="C172" s="10" t="s">
        <v>409</v>
      </c>
      <c r="D172" s="10" t="s">
        <v>467</v>
      </c>
      <c r="E172" s="18" t="s">
        <v>442</v>
      </c>
      <c r="F172" s="10" t="s">
        <v>339</v>
      </c>
      <c r="G172" s="16">
        <v>0</v>
      </c>
      <c r="H172" s="16">
        <v>6</v>
      </c>
      <c r="I172" s="16">
        <v>1</v>
      </c>
      <c r="J172" s="16">
        <v>6</v>
      </c>
      <c r="K172" s="16">
        <v>2</v>
      </c>
      <c r="L172" s="16"/>
      <c r="M172" s="16"/>
      <c r="N172" s="16"/>
      <c r="O172" s="16"/>
      <c r="P172" s="16"/>
      <c r="Q172" s="16"/>
      <c r="R172" s="10" t="s">
        <v>416</v>
      </c>
      <c r="S172" s="10" t="s">
        <v>473</v>
      </c>
      <c r="T172" s="10" t="s">
        <v>445</v>
      </c>
      <c r="U172" s="16">
        <v>1</v>
      </c>
      <c r="V172" s="15">
        <f>H172+J172+L172+N172+P172</f>
        <v>12</v>
      </c>
      <c r="W172" s="15">
        <f>H172+I172+J172+K172+L172+M172+N172+O172+P172+Q172</f>
        <v>15</v>
      </c>
      <c r="X172" s="26">
        <f>V172/W172</f>
        <v>0.8</v>
      </c>
      <c r="Y172" s="26">
        <f>H172/(H172+I172)</f>
        <v>0.8571428571428571</v>
      </c>
      <c r="Z172" s="26">
        <f>J172/(J172+K172)</f>
        <v>0.75</v>
      </c>
      <c r="AA172" s="26">
        <f>L173/(L173+M173)</f>
        <v>0.6</v>
      </c>
      <c r="AB172" s="26" t="e">
        <f>N172/(N172+O172)</f>
        <v>#DIV/0!</v>
      </c>
      <c r="AC172" s="26" t="e">
        <f>P172/(P172+Q172)</f>
        <v>#DIV/0!</v>
      </c>
      <c r="AD172" s="26">
        <f>V172/W172</f>
        <v>0.8</v>
      </c>
    </row>
    <row r="173" spans="1:30" x14ac:dyDescent="0.2">
      <c r="A173" s="14" t="s">
        <v>274</v>
      </c>
      <c r="B173" s="10" t="s">
        <v>305</v>
      </c>
      <c r="C173" s="10" t="s">
        <v>267</v>
      </c>
      <c r="D173" s="10" t="s">
        <v>469</v>
      </c>
      <c r="E173" s="10" t="s">
        <v>462</v>
      </c>
      <c r="F173" s="10" t="s">
        <v>521</v>
      </c>
      <c r="G173" s="16">
        <v>1</v>
      </c>
      <c r="H173" s="16">
        <v>7</v>
      </c>
      <c r="I173" s="16">
        <v>6</v>
      </c>
      <c r="J173" s="16">
        <v>6</v>
      </c>
      <c r="K173" s="16">
        <v>4</v>
      </c>
      <c r="L173" s="16">
        <v>6</v>
      </c>
      <c r="M173" s="16">
        <v>4</v>
      </c>
      <c r="N173" s="16"/>
      <c r="O173" s="16"/>
      <c r="P173" s="16"/>
      <c r="Q173" s="16"/>
      <c r="R173" s="10" t="s">
        <v>275</v>
      </c>
      <c r="S173" s="10" t="s">
        <v>485</v>
      </c>
      <c r="T173" s="10" t="s">
        <v>492</v>
      </c>
      <c r="U173" s="16">
        <v>10</v>
      </c>
      <c r="V173" s="15">
        <f>H173+J173+L173+N173+P173</f>
        <v>19</v>
      </c>
      <c r="W173" s="15">
        <f>H173+I173+J173+K173+L173+M173+N173+O173+P173+Q173</f>
        <v>33</v>
      </c>
      <c r="X173" s="26">
        <f>V173/W173</f>
        <v>0.5757575757575758</v>
      </c>
      <c r="Y173" s="26">
        <f>H173/(H173+I173)</f>
        <v>0.53846153846153844</v>
      </c>
      <c r="Z173" s="26">
        <f>J173/(J173+K173)</f>
        <v>0.6</v>
      </c>
      <c r="AA173" s="26" t="e">
        <f>L174/(L174+M174)</f>
        <v>#DIV/0!</v>
      </c>
      <c r="AB173" s="26" t="e">
        <f>N173/(N173+O173)</f>
        <v>#DIV/0!</v>
      </c>
      <c r="AC173" s="26" t="e">
        <f>P173/(P173+Q173)</f>
        <v>#DIV/0!</v>
      </c>
      <c r="AD173" s="26">
        <f>V173/W173</f>
        <v>0.5757575757575758</v>
      </c>
    </row>
    <row r="174" spans="1:30" x14ac:dyDescent="0.2">
      <c r="A174" s="9" t="s">
        <v>276</v>
      </c>
      <c r="B174" s="10" t="s">
        <v>438</v>
      </c>
      <c r="C174" s="11" t="s">
        <v>416</v>
      </c>
      <c r="D174" s="11" t="s">
        <v>473</v>
      </c>
      <c r="E174" s="11" t="s">
        <v>445</v>
      </c>
      <c r="F174" s="11" t="s">
        <v>418</v>
      </c>
      <c r="G174" s="13">
        <v>5</v>
      </c>
      <c r="H174" s="13">
        <v>7</v>
      </c>
      <c r="I174" s="13">
        <v>5</v>
      </c>
      <c r="J174" s="13">
        <v>6</v>
      </c>
      <c r="K174" s="13">
        <v>3</v>
      </c>
      <c r="L174" s="13"/>
      <c r="M174" s="13"/>
      <c r="N174" s="13"/>
      <c r="O174" s="13"/>
      <c r="P174" s="13"/>
      <c r="Q174" s="13"/>
      <c r="R174" s="11" t="s">
        <v>417</v>
      </c>
      <c r="S174" s="11" t="s">
        <v>465</v>
      </c>
      <c r="T174" s="11" t="s">
        <v>444</v>
      </c>
      <c r="U174" s="13">
        <v>4</v>
      </c>
      <c r="V174" s="15">
        <f>H174+J174+L174+N174+P174</f>
        <v>13</v>
      </c>
      <c r="W174" s="15">
        <f>H174+I174+J174+K174+L174+M174+N174+O174+P174+Q174</f>
        <v>21</v>
      </c>
      <c r="X174" s="26">
        <f>V174/W174</f>
        <v>0.61904761904761907</v>
      </c>
      <c r="Y174" s="26">
        <f>H174/(H174+I174)</f>
        <v>0.58333333333333337</v>
      </c>
      <c r="Z174" s="26">
        <f>J174/(J174+K174)</f>
        <v>0.66666666666666663</v>
      </c>
      <c r="AA174" s="26">
        <f>L175/(L175+M175)</f>
        <v>0.66666666666666663</v>
      </c>
      <c r="AB174" s="26" t="e">
        <f>N174/(N174+O174)</f>
        <v>#DIV/0!</v>
      </c>
      <c r="AC174" s="26" t="e">
        <f>P174/(P174+Q174)</f>
        <v>#DIV/0!</v>
      </c>
      <c r="AD174" s="26">
        <f>V174/W174</f>
        <v>0.61904761904761907</v>
      </c>
    </row>
    <row r="175" spans="1:30" x14ac:dyDescent="0.2">
      <c r="A175" s="9" t="s">
        <v>276</v>
      </c>
      <c r="B175" s="10" t="s">
        <v>305</v>
      </c>
      <c r="C175" s="11" t="s">
        <v>277</v>
      </c>
      <c r="D175" s="11" t="s">
        <v>465</v>
      </c>
      <c r="E175" s="17" t="s">
        <v>444</v>
      </c>
      <c r="F175" s="11" t="s">
        <v>522</v>
      </c>
      <c r="G175" s="13">
        <v>3</v>
      </c>
      <c r="H175" s="13">
        <v>4</v>
      </c>
      <c r="I175" s="13">
        <v>6</v>
      </c>
      <c r="J175" s="13">
        <v>6</v>
      </c>
      <c r="K175" s="13">
        <v>4</v>
      </c>
      <c r="L175" s="13">
        <v>6</v>
      </c>
      <c r="M175" s="13">
        <v>3</v>
      </c>
      <c r="N175" s="13">
        <v>7</v>
      </c>
      <c r="O175" s="13">
        <v>6</v>
      </c>
      <c r="P175" s="13"/>
      <c r="Q175" s="13"/>
      <c r="R175" s="11" t="s">
        <v>278</v>
      </c>
      <c r="S175" s="11" t="s">
        <v>474</v>
      </c>
      <c r="T175" s="11" t="s">
        <v>452</v>
      </c>
      <c r="U175" s="13" t="s">
        <v>563</v>
      </c>
      <c r="V175" s="15">
        <f>H175+J175+L175+N175+P175</f>
        <v>23</v>
      </c>
      <c r="W175" s="15">
        <f>H175+I175+J175+K175+L175+M175+N175+O175+P175+Q175</f>
        <v>42</v>
      </c>
      <c r="X175" s="26">
        <f>V175/W175</f>
        <v>0.54761904761904767</v>
      </c>
      <c r="Y175" s="26">
        <f>H175/(H175+I175)</f>
        <v>0.4</v>
      </c>
      <c r="Z175" s="26">
        <f>J175/(J175+K175)</f>
        <v>0.6</v>
      </c>
      <c r="AA175" s="26" t="e">
        <f>L176/(L176+M176)</f>
        <v>#DIV/0!</v>
      </c>
      <c r="AB175" s="26">
        <f>N175/(N175+O175)</f>
        <v>0.53846153846153844</v>
      </c>
      <c r="AC175" s="26" t="e">
        <f>P175/(P175+Q175)</f>
        <v>#DIV/0!</v>
      </c>
      <c r="AD175" s="26">
        <f>V175/W175</f>
        <v>0.54761904761904767</v>
      </c>
    </row>
    <row r="176" spans="1:30" x14ac:dyDescent="0.2">
      <c r="A176" s="14" t="s">
        <v>279</v>
      </c>
      <c r="B176" s="10" t="s">
        <v>438</v>
      </c>
      <c r="C176" s="10" t="s">
        <v>409</v>
      </c>
      <c r="D176" s="10" t="s">
        <v>467</v>
      </c>
      <c r="E176" s="18" t="s">
        <v>442</v>
      </c>
      <c r="F176" s="10" t="s">
        <v>420</v>
      </c>
      <c r="G176" s="16">
        <v>2</v>
      </c>
      <c r="H176" s="16">
        <v>6</v>
      </c>
      <c r="I176" s="16">
        <v>0</v>
      </c>
      <c r="J176" s="16">
        <v>6</v>
      </c>
      <c r="K176" s="16">
        <v>3</v>
      </c>
      <c r="L176" s="16"/>
      <c r="M176" s="16"/>
      <c r="N176" s="16"/>
      <c r="O176" s="16"/>
      <c r="P176" s="16"/>
      <c r="Q176" s="16"/>
      <c r="R176" s="10" t="s">
        <v>419</v>
      </c>
      <c r="S176" s="10" t="s">
        <v>473</v>
      </c>
      <c r="T176" s="10" t="s">
        <v>445</v>
      </c>
      <c r="U176" s="16">
        <v>3</v>
      </c>
      <c r="V176" s="15">
        <f>H176+J176+L176+N176+P176</f>
        <v>12</v>
      </c>
      <c r="W176" s="15">
        <f>H176+I176+J176+K176+L176+M176+N176+O176+P176+Q176</f>
        <v>15</v>
      </c>
      <c r="X176" s="26">
        <f>V176/W176</f>
        <v>0.8</v>
      </c>
      <c r="Y176" s="26">
        <f>H176/(H176+I176)</f>
        <v>1</v>
      </c>
      <c r="Z176" s="26">
        <f>J176/(J176+K176)</f>
        <v>0.66666666666666663</v>
      </c>
      <c r="AA176" s="26">
        <f>L177/(L177+M177)</f>
        <v>0.53846153846153844</v>
      </c>
      <c r="AB176" s="26" t="e">
        <f>N176/(N176+O176)</f>
        <v>#DIV/0!</v>
      </c>
      <c r="AC176" s="26" t="e">
        <f>P176/(P176+Q176)</f>
        <v>#DIV/0!</v>
      </c>
      <c r="AD176" s="26">
        <f>V176/W176</f>
        <v>0.8</v>
      </c>
    </row>
    <row r="177" spans="1:30" x14ac:dyDescent="0.2">
      <c r="A177" s="14" t="s">
        <v>279</v>
      </c>
      <c r="B177" s="10" t="s">
        <v>305</v>
      </c>
      <c r="C177" s="10" t="s">
        <v>280</v>
      </c>
      <c r="D177" s="10" t="s">
        <v>463</v>
      </c>
      <c r="E177" s="10" t="s">
        <v>453</v>
      </c>
      <c r="F177" s="10" t="s">
        <v>523</v>
      </c>
      <c r="G177" s="16">
        <v>1</v>
      </c>
      <c r="H177" s="16">
        <v>7</v>
      </c>
      <c r="I177" s="16">
        <v>5</v>
      </c>
      <c r="J177" s="16">
        <v>3</v>
      </c>
      <c r="K177" s="16">
        <v>6</v>
      </c>
      <c r="L177" s="16">
        <v>7</v>
      </c>
      <c r="M177" s="16">
        <v>6</v>
      </c>
      <c r="N177" s="16">
        <v>3</v>
      </c>
      <c r="O177" s="16">
        <v>6</v>
      </c>
      <c r="P177" s="16">
        <v>6</v>
      </c>
      <c r="Q177" s="16">
        <v>2</v>
      </c>
      <c r="R177" s="10" t="s">
        <v>267</v>
      </c>
      <c r="S177" s="10" t="s">
        <v>469</v>
      </c>
      <c r="T177" s="10" t="s">
        <v>462</v>
      </c>
      <c r="U177" s="16">
        <v>2</v>
      </c>
      <c r="V177" s="15">
        <f>H177+J177+L177+N177+P177</f>
        <v>26</v>
      </c>
      <c r="W177" s="15">
        <f>H177+I177+J177+K177+L177+M177+N177+O177+P177+Q177</f>
        <v>51</v>
      </c>
      <c r="X177" s="26">
        <f>V177/W177</f>
        <v>0.50980392156862742</v>
      </c>
      <c r="Y177" s="26">
        <f>H177/(H177+I177)</f>
        <v>0.58333333333333337</v>
      </c>
      <c r="Z177" s="26">
        <f>J177/(J177+K177)</f>
        <v>0.33333333333333331</v>
      </c>
      <c r="AA177" s="26">
        <f>L178/(L178+M178)</f>
        <v>0.75</v>
      </c>
      <c r="AB177" s="26">
        <f>N177/(N177+O177)</f>
        <v>0.33333333333333331</v>
      </c>
      <c r="AC177" s="26">
        <f>P177/(P177+Q177)</f>
        <v>0.75</v>
      </c>
      <c r="AD177" s="26">
        <f>V177/W177</f>
        <v>0.50980392156862742</v>
      </c>
    </row>
    <row r="178" spans="1:30" x14ac:dyDescent="0.2">
      <c r="A178" s="9" t="s">
        <v>281</v>
      </c>
      <c r="B178" s="10" t="s">
        <v>438</v>
      </c>
      <c r="C178" s="11" t="s">
        <v>409</v>
      </c>
      <c r="D178" s="11" t="s">
        <v>467</v>
      </c>
      <c r="E178" s="11" t="s">
        <v>442</v>
      </c>
      <c r="F178" s="11" t="s">
        <v>421</v>
      </c>
      <c r="G178" s="13">
        <v>1</v>
      </c>
      <c r="H178" s="13">
        <v>6</v>
      </c>
      <c r="I178" s="13">
        <v>4</v>
      </c>
      <c r="J178" s="13">
        <v>3</v>
      </c>
      <c r="K178" s="13">
        <v>6</v>
      </c>
      <c r="L178" s="13">
        <v>6</v>
      </c>
      <c r="M178" s="13">
        <v>2</v>
      </c>
      <c r="N178" s="13"/>
      <c r="O178" s="13"/>
      <c r="P178" s="13"/>
      <c r="Q178" s="13"/>
      <c r="R178" s="11" t="s">
        <v>411</v>
      </c>
      <c r="S178" s="11" t="s">
        <v>472</v>
      </c>
      <c r="T178" s="11" t="s">
        <v>459</v>
      </c>
      <c r="U178" s="13" t="s">
        <v>563</v>
      </c>
      <c r="V178" s="15">
        <f>H178+J178+L178+N178+P178</f>
        <v>15</v>
      </c>
      <c r="W178" s="15">
        <f>H178+I178+J178+K178+L178+M178+N178+O178+P178+Q178</f>
        <v>27</v>
      </c>
      <c r="X178" s="26">
        <f>V178/W178</f>
        <v>0.55555555555555558</v>
      </c>
      <c r="Y178" s="26">
        <f>H178/(H178+I178)</f>
        <v>0.6</v>
      </c>
      <c r="Z178" s="26">
        <f>J178/(J178+K178)</f>
        <v>0.33333333333333331</v>
      </c>
      <c r="AA178" s="26">
        <f>L179/(L179+M179)</f>
        <v>0.53846153846153844</v>
      </c>
      <c r="AB178" s="26" t="e">
        <f>N178/(N178+O178)</f>
        <v>#DIV/0!</v>
      </c>
      <c r="AC178" s="26" t="e">
        <f>P178/(P178+Q178)</f>
        <v>#DIV/0!</v>
      </c>
      <c r="AD178" s="26">
        <f>V178/W178</f>
        <v>0.55555555555555558</v>
      </c>
    </row>
    <row r="179" spans="1:30" x14ac:dyDescent="0.2">
      <c r="A179" s="9" t="s">
        <v>281</v>
      </c>
      <c r="B179" s="10" t="s">
        <v>305</v>
      </c>
      <c r="C179" s="11" t="s">
        <v>267</v>
      </c>
      <c r="D179" s="11" t="s">
        <v>469</v>
      </c>
      <c r="E179" s="11" t="s">
        <v>462</v>
      </c>
      <c r="F179" s="11" t="s">
        <v>524</v>
      </c>
      <c r="G179" s="13">
        <v>1</v>
      </c>
      <c r="H179" s="13">
        <v>6</v>
      </c>
      <c r="I179" s="13">
        <v>3</v>
      </c>
      <c r="J179" s="13">
        <v>6</v>
      </c>
      <c r="K179" s="13">
        <v>4</v>
      </c>
      <c r="L179" s="13">
        <v>7</v>
      </c>
      <c r="M179" s="13">
        <v>6</v>
      </c>
      <c r="N179" s="13"/>
      <c r="O179" s="13"/>
      <c r="P179" s="13"/>
      <c r="Q179" s="13"/>
      <c r="R179" s="11" t="s">
        <v>282</v>
      </c>
      <c r="S179" s="11" t="s">
        <v>457</v>
      </c>
      <c r="T179" s="11" t="s">
        <v>450</v>
      </c>
      <c r="U179" s="13">
        <v>5</v>
      </c>
      <c r="V179" s="15">
        <f>H179+J179+L179+N179+P179</f>
        <v>19</v>
      </c>
      <c r="W179" s="15">
        <f>H179+I179+J179+K179+L179+M179+N179+O179+P179+Q179</f>
        <v>32</v>
      </c>
      <c r="X179" s="26">
        <f>V179/W179</f>
        <v>0.59375</v>
      </c>
      <c r="Y179" s="26">
        <f>H179/(H179+I179)</f>
        <v>0.66666666666666663</v>
      </c>
      <c r="Z179" s="26">
        <f>J179/(J179+K179)</f>
        <v>0.6</v>
      </c>
      <c r="AA179" s="26">
        <f>L180/(L180+M180)</f>
        <v>0.66666666666666663</v>
      </c>
      <c r="AB179" s="26" t="e">
        <f>N179/(N179+O179)</f>
        <v>#DIV/0!</v>
      </c>
      <c r="AC179" s="26" t="e">
        <f>P179/(P179+Q179)</f>
        <v>#DIV/0!</v>
      </c>
      <c r="AD179" s="26">
        <f>V179/W179</f>
        <v>0.59375</v>
      </c>
    </row>
    <row r="180" spans="1:30" x14ac:dyDescent="0.2">
      <c r="A180" s="14" t="s">
        <v>283</v>
      </c>
      <c r="B180" s="10" t="s">
        <v>438</v>
      </c>
      <c r="C180" s="10" t="s">
        <v>412</v>
      </c>
      <c r="D180" s="10" t="s">
        <v>472</v>
      </c>
      <c r="E180" s="10" t="s">
        <v>459</v>
      </c>
      <c r="F180" s="10" t="s">
        <v>423</v>
      </c>
      <c r="G180" s="16">
        <v>3</v>
      </c>
      <c r="H180" s="16">
        <v>3</v>
      </c>
      <c r="I180" s="16">
        <v>6</v>
      </c>
      <c r="J180" s="16">
        <v>6</v>
      </c>
      <c r="K180" s="16">
        <v>3</v>
      </c>
      <c r="L180" s="16">
        <v>6</v>
      </c>
      <c r="M180" s="16">
        <v>3</v>
      </c>
      <c r="N180" s="16"/>
      <c r="O180" s="16"/>
      <c r="P180" s="16"/>
      <c r="Q180" s="16"/>
      <c r="R180" s="10" t="s">
        <v>422</v>
      </c>
      <c r="S180" s="10" t="s">
        <v>470</v>
      </c>
      <c r="T180" s="10" t="s">
        <v>456</v>
      </c>
      <c r="U180" s="16">
        <v>9</v>
      </c>
      <c r="V180" s="15">
        <f>H180+J180+L180+N180+P180</f>
        <v>15</v>
      </c>
      <c r="W180" s="15">
        <f>H180+I180+J180+K180+L180+M180+N180+O180+P180+Q180</f>
        <v>27</v>
      </c>
      <c r="X180" s="26">
        <f>V180/W180</f>
        <v>0.55555555555555558</v>
      </c>
      <c r="Y180" s="26">
        <f>H180/(H180+I180)</f>
        <v>0.33333333333333331</v>
      </c>
      <c r="Z180" s="26">
        <f>J180/(J180+K180)</f>
        <v>0.66666666666666663</v>
      </c>
      <c r="AA180" s="26">
        <f>L181/(L181+M181)</f>
        <v>0.66666666666666663</v>
      </c>
      <c r="AB180" s="26" t="e">
        <f>N180/(N180+O180)</f>
        <v>#DIV/0!</v>
      </c>
      <c r="AC180" s="26" t="e">
        <f>P180/(P180+Q180)</f>
        <v>#DIV/0!</v>
      </c>
      <c r="AD180" s="26">
        <f>V180/W180</f>
        <v>0.55555555555555558</v>
      </c>
    </row>
    <row r="181" spans="1:30" x14ac:dyDescent="0.2">
      <c r="A181" s="14" t="s">
        <v>283</v>
      </c>
      <c r="B181" s="10" t="s">
        <v>305</v>
      </c>
      <c r="C181" s="10" t="s">
        <v>277</v>
      </c>
      <c r="D181" s="10" t="s">
        <v>465</v>
      </c>
      <c r="E181" s="10" t="s">
        <v>444</v>
      </c>
      <c r="F181" s="10" t="s">
        <v>284</v>
      </c>
      <c r="G181" s="16">
        <v>3</v>
      </c>
      <c r="H181" s="16">
        <v>6</v>
      </c>
      <c r="I181" s="16">
        <v>4</v>
      </c>
      <c r="J181" s="16">
        <v>6</v>
      </c>
      <c r="K181" s="16">
        <v>2</v>
      </c>
      <c r="L181" s="16">
        <v>6</v>
      </c>
      <c r="M181" s="16">
        <v>3</v>
      </c>
      <c r="N181" s="16"/>
      <c r="O181" s="16"/>
      <c r="P181" s="16"/>
      <c r="Q181" s="16"/>
      <c r="R181" s="10" t="s">
        <v>282</v>
      </c>
      <c r="S181" s="10" t="s">
        <v>457</v>
      </c>
      <c r="T181" s="10" t="s">
        <v>450</v>
      </c>
      <c r="U181" s="16">
        <v>5</v>
      </c>
      <c r="V181" s="15">
        <f>H181+J181+L181+N181+P181</f>
        <v>18</v>
      </c>
      <c r="W181" s="15">
        <f>H181+I181+J181+K181+L181+M181+N181+O181+P181+Q181</f>
        <v>27</v>
      </c>
      <c r="X181" s="26">
        <f>V181/W181</f>
        <v>0.66666666666666663</v>
      </c>
      <c r="Y181" s="26">
        <f>H181/(H181+I181)</f>
        <v>0.6</v>
      </c>
      <c r="Z181" s="26">
        <f>J181/(J181+K181)</f>
        <v>0.75</v>
      </c>
      <c r="AA181" s="26" t="e">
        <f>L182/(L182+M182)</f>
        <v>#DIV/0!</v>
      </c>
      <c r="AB181" s="26" t="e">
        <f>N181/(N181+O181)</f>
        <v>#DIV/0!</v>
      </c>
      <c r="AC181" s="26" t="e">
        <f>P181/(P181+Q181)</f>
        <v>#DIV/0!</v>
      </c>
      <c r="AD181" s="26">
        <f>V181/W181</f>
        <v>0.66666666666666663</v>
      </c>
    </row>
    <row r="182" spans="1:30" x14ac:dyDescent="0.2">
      <c r="A182" s="9" t="s">
        <v>285</v>
      </c>
      <c r="B182" s="10" t="s">
        <v>438</v>
      </c>
      <c r="C182" s="11" t="s">
        <v>424</v>
      </c>
      <c r="D182" s="11" t="s">
        <v>471</v>
      </c>
      <c r="E182" s="19" t="s">
        <v>458</v>
      </c>
      <c r="F182" s="11" t="s">
        <v>381</v>
      </c>
      <c r="G182" s="13">
        <v>3</v>
      </c>
      <c r="H182" s="13">
        <v>6</v>
      </c>
      <c r="I182" s="13">
        <v>3</v>
      </c>
      <c r="J182" s="13">
        <v>6</v>
      </c>
      <c r="K182" s="13">
        <v>0</v>
      </c>
      <c r="L182" s="13"/>
      <c r="M182" s="13"/>
      <c r="N182" s="13"/>
      <c r="O182" s="13"/>
      <c r="P182" s="13"/>
      <c r="Q182" s="13"/>
      <c r="R182" s="11" t="s">
        <v>416</v>
      </c>
      <c r="S182" s="11" t="s">
        <v>473</v>
      </c>
      <c r="T182" s="11" t="s">
        <v>445</v>
      </c>
      <c r="U182" s="13">
        <v>4</v>
      </c>
      <c r="V182" s="15">
        <f>H182+J182+L182+N182+P182</f>
        <v>12</v>
      </c>
      <c r="W182" s="15">
        <f>H182+I182+J182+K182+L182+M182+N182+O182+P182+Q182</f>
        <v>15</v>
      </c>
      <c r="X182" s="26">
        <f>V182/W182</f>
        <v>0.8</v>
      </c>
      <c r="Y182" s="26">
        <f>H182/(H182+I182)</f>
        <v>0.66666666666666663</v>
      </c>
      <c r="Z182" s="26">
        <f>J182/(J182+K182)</f>
        <v>1</v>
      </c>
      <c r="AA182" s="26">
        <f>L183/(L183+M183)</f>
        <v>0.75</v>
      </c>
      <c r="AB182" s="26" t="e">
        <f>N182/(N182+O182)</f>
        <v>#DIV/0!</v>
      </c>
      <c r="AC182" s="26" t="e">
        <f>P182/(P182+Q182)</f>
        <v>#DIV/0!</v>
      </c>
      <c r="AD182" s="26">
        <f>V182/W182</f>
        <v>0.8</v>
      </c>
    </row>
    <row r="183" spans="1:30" x14ac:dyDescent="0.2">
      <c r="A183" s="9" t="s">
        <v>285</v>
      </c>
      <c r="B183" s="10" t="s">
        <v>305</v>
      </c>
      <c r="C183" s="11" t="s">
        <v>277</v>
      </c>
      <c r="D183" s="11" t="s">
        <v>465</v>
      </c>
      <c r="E183" s="17" t="s">
        <v>444</v>
      </c>
      <c r="F183" s="11" t="s">
        <v>525</v>
      </c>
      <c r="G183" s="13">
        <v>1</v>
      </c>
      <c r="H183" s="13">
        <v>5</v>
      </c>
      <c r="I183" s="13">
        <v>7</v>
      </c>
      <c r="J183" s="13">
        <v>6</v>
      </c>
      <c r="K183" s="13">
        <v>4</v>
      </c>
      <c r="L183" s="13">
        <v>6</v>
      </c>
      <c r="M183" s="13">
        <v>2</v>
      </c>
      <c r="N183" s="13">
        <v>6</v>
      </c>
      <c r="O183" s="13">
        <v>7</v>
      </c>
      <c r="P183" s="13">
        <v>7</v>
      </c>
      <c r="Q183" s="13">
        <v>5</v>
      </c>
      <c r="R183" s="11" t="s">
        <v>280</v>
      </c>
      <c r="S183" s="11" t="s">
        <v>463</v>
      </c>
      <c r="T183" s="11" t="s">
        <v>453</v>
      </c>
      <c r="U183" s="13">
        <v>2</v>
      </c>
      <c r="V183" s="15">
        <f>H183+J183+L183+N183+P183</f>
        <v>30</v>
      </c>
      <c r="W183" s="15">
        <f>H183+I183+J183+K183+L183+M183+N183+O183+P183+Q183</f>
        <v>55</v>
      </c>
      <c r="X183" s="26">
        <f>V183/W183</f>
        <v>0.54545454545454541</v>
      </c>
      <c r="Y183" s="26">
        <f>H183/(H183+I183)</f>
        <v>0.41666666666666669</v>
      </c>
      <c r="Z183" s="26">
        <f>J183/(J183+K183)</f>
        <v>0.6</v>
      </c>
      <c r="AA183" s="26">
        <f>L184/(L184+M184)</f>
        <v>0.66666666666666663</v>
      </c>
      <c r="AB183" s="26">
        <f>N183/(N183+O183)</f>
        <v>0.46153846153846156</v>
      </c>
      <c r="AC183" s="26">
        <f>P183/(P183+Q183)</f>
        <v>0.58333333333333337</v>
      </c>
      <c r="AD183" s="26">
        <f>V183/W183</f>
        <v>0.54545454545454541</v>
      </c>
    </row>
    <row r="184" spans="1:30" x14ac:dyDescent="0.2">
      <c r="A184" s="14" t="s">
        <v>286</v>
      </c>
      <c r="B184" s="10" t="s">
        <v>438</v>
      </c>
      <c r="C184" s="10" t="s">
        <v>424</v>
      </c>
      <c r="D184" s="10" t="s">
        <v>471</v>
      </c>
      <c r="E184" s="10" t="s">
        <v>458</v>
      </c>
      <c r="F184" s="10" t="s">
        <v>425</v>
      </c>
      <c r="G184" s="16">
        <v>1</v>
      </c>
      <c r="H184" s="16">
        <v>4</v>
      </c>
      <c r="I184" s="16">
        <v>6</v>
      </c>
      <c r="J184" s="16">
        <v>6</v>
      </c>
      <c r="K184" s="16">
        <v>4</v>
      </c>
      <c r="L184" s="16">
        <v>6</v>
      </c>
      <c r="M184" s="16">
        <v>3</v>
      </c>
      <c r="N184" s="16"/>
      <c r="O184" s="16"/>
      <c r="P184" s="16"/>
      <c r="Q184" s="16"/>
      <c r="R184" s="10" t="s">
        <v>422</v>
      </c>
      <c r="S184" s="10" t="s">
        <v>470</v>
      </c>
      <c r="T184" s="10" t="s">
        <v>456</v>
      </c>
      <c r="U184" s="16">
        <v>6</v>
      </c>
      <c r="V184" s="15">
        <f>H184+J184+L184+N184+P184</f>
        <v>16</v>
      </c>
      <c r="W184" s="15">
        <f>H184+I184+J184+K184+L184+M184+N184+O184+P184+Q184</f>
        <v>29</v>
      </c>
      <c r="X184" s="26">
        <f>V184/W184</f>
        <v>0.55172413793103448</v>
      </c>
      <c r="Y184" s="26">
        <f>H184/(H184+I184)</f>
        <v>0.4</v>
      </c>
      <c r="Z184" s="26">
        <f>J184/(J184+K184)</f>
        <v>0.6</v>
      </c>
      <c r="AA184" s="26">
        <f>L185/(L185+M185)</f>
        <v>0.66666666666666663</v>
      </c>
      <c r="AB184" s="26" t="e">
        <f>N184/(N184+O184)</f>
        <v>#DIV/0!</v>
      </c>
      <c r="AC184" s="26" t="e">
        <f>P184/(P184+Q184)</f>
        <v>#DIV/0!</v>
      </c>
      <c r="AD184" s="26">
        <f>V184/W184</f>
        <v>0.55172413793103448</v>
      </c>
    </row>
    <row r="185" spans="1:30" x14ac:dyDescent="0.2">
      <c r="A185" s="14" t="s">
        <v>286</v>
      </c>
      <c r="B185" s="10" t="s">
        <v>305</v>
      </c>
      <c r="C185" s="10" t="s">
        <v>277</v>
      </c>
      <c r="D185" s="10" t="s">
        <v>465</v>
      </c>
      <c r="E185" s="10" t="s">
        <v>444</v>
      </c>
      <c r="F185" s="10" t="s">
        <v>526</v>
      </c>
      <c r="G185" s="16">
        <v>1</v>
      </c>
      <c r="H185" s="16">
        <v>6</v>
      </c>
      <c r="I185" s="16">
        <v>7</v>
      </c>
      <c r="J185" s="16">
        <v>7</v>
      </c>
      <c r="K185" s="16">
        <v>6</v>
      </c>
      <c r="L185" s="16">
        <v>6</v>
      </c>
      <c r="M185" s="16">
        <v>3</v>
      </c>
      <c r="N185" s="16">
        <v>6</v>
      </c>
      <c r="O185" s="16">
        <v>2</v>
      </c>
      <c r="P185" s="16"/>
      <c r="Q185" s="16"/>
      <c r="R185" s="10" t="s">
        <v>282</v>
      </c>
      <c r="S185" s="10" t="s">
        <v>457</v>
      </c>
      <c r="T185" s="10" t="s">
        <v>450</v>
      </c>
      <c r="U185" s="16">
        <v>3</v>
      </c>
      <c r="V185" s="15">
        <f>H185+J185+L185+N185+P185</f>
        <v>25</v>
      </c>
      <c r="W185" s="15">
        <f>H185+I185+J185+K185+L185+M185+N185+O185+P185+Q185</f>
        <v>43</v>
      </c>
      <c r="X185" s="26">
        <f>V185/W185</f>
        <v>0.58139534883720934</v>
      </c>
      <c r="Y185" s="26">
        <f>H185/(H185+I185)</f>
        <v>0.46153846153846156</v>
      </c>
      <c r="Z185" s="26">
        <f>J185/(J185+K185)</f>
        <v>0.53846153846153844</v>
      </c>
      <c r="AA185" s="26" t="e">
        <f>L186/(L186+M186)</f>
        <v>#DIV/0!</v>
      </c>
      <c r="AB185" s="26">
        <f>N185/(N185+O185)</f>
        <v>0.75</v>
      </c>
      <c r="AC185" s="26" t="e">
        <f>P185/(P185+Q185)</f>
        <v>#DIV/0!</v>
      </c>
      <c r="AD185" s="26">
        <f>V185/W185</f>
        <v>0.58139534883720934</v>
      </c>
    </row>
    <row r="186" spans="1:30" x14ac:dyDescent="0.2">
      <c r="A186" s="9" t="s">
        <v>287</v>
      </c>
      <c r="B186" s="10" t="s">
        <v>438</v>
      </c>
      <c r="C186" s="11" t="s">
        <v>422</v>
      </c>
      <c r="D186" s="11" t="s">
        <v>470</v>
      </c>
      <c r="E186" s="11" t="s">
        <v>456</v>
      </c>
      <c r="F186" s="11" t="s">
        <v>541</v>
      </c>
      <c r="G186" s="13">
        <v>4</v>
      </c>
      <c r="H186" s="13">
        <v>7</v>
      </c>
      <c r="I186" s="13">
        <v>6</v>
      </c>
      <c r="J186" s="13">
        <v>6</v>
      </c>
      <c r="K186" s="13">
        <v>0</v>
      </c>
      <c r="L186" s="13"/>
      <c r="M186" s="13"/>
      <c r="N186" s="13"/>
      <c r="O186" s="13"/>
      <c r="P186" s="13"/>
      <c r="Q186" s="13"/>
      <c r="R186" s="11" t="s">
        <v>426</v>
      </c>
      <c r="S186" s="11" t="s">
        <v>484</v>
      </c>
      <c r="T186" s="11" t="s">
        <v>488</v>
      </c>
      <c r="U186" s="13">
        <v>20</v>
      </c>
      <c r="V186" s="15">
        <f>H186+J186+L186+N186+P186</f>
        <v>13</v>
      </c>
      <c r="W186" s="15">
        <f>H186+I186+J186+K186+L186+M186+N186+O186+P186+Q186</f>
        <v>19</v>
      </c>
      <c r="X186" s="26">
        <f>V186/W186</f>
        <v>0.68421052631578949</v>
      </c>
      <c r="Y186" s="26">
        <f>H186/(H186+I186)</f>
        <v>0.53846153846153844</v>
      </c>
      <c r="Z186" s="26">
        <f>J186/(J186+K186)</f>
        <v>1</v>
      </c>
      <c r="AA186" s="26">
        <f>L187/(L187+M187)</f>
        <v>0.33333333333333331</v>
      </c>
      <c r="AB186" s="26" t="e">
        <f>N186/(N186+O186)</f>
        <v>#DIV/0!</v>
      </c>
      <c r="AC186" s="26" t="e">
        <f>P186/(P186+Q186)</f>
        <v>#DIV/0!</v>
      </c>
      <c r="AD186" s="26">
        <f>V186/W186</f>
        <v>0.68421052631578949</v>
      </c>
    </row>
    <row r="187" spans="1:30" x14ac:dyDescent="0.2">
      <c r="A187" s="9" t="s">
        <v>287</v>
      </c>
      <c r="B187" s="10" t="s">
        <v>305</v>
      </c>
      <c r="C187" s="11" t="s">
        <v>288</v>
      </c>
      <c r="D187" s="11" t="s">
        <v>469</v>
      </c>
      <c r="E187" s="11" t="s">
        <v>462</v>
      </c>
      <c r="F187" s="11" t="s">
        <v>289</v>
      </c>
      <c r="G187" s="13">
        <v>8</v>
      </c>
      <c r="H187" s="13">
        <v>6</v>
      </c>
      <c r="I187" s="13">
        <v>3</v>
      </c>
      <c r="J187" s="13">
        <v>6</v>
      </c>
      <c r="K187" s="13">
        <v>2</v>
      </c>
      <c r="L187" s="13">
        <v>3</v>
      </c>
      <c r="M187" s="13">
        <v>6</v>
      </c>
      <c r="N187" s="13">
        <v>6</v>
      </c>
      <c r="O187" s="13">
        <v>3</v>
      </c>
      <c r="P187" s="13"/>
      <c r="Q187" s="13"/>
      <c r="R187" s="11" t="s">
        <v>280</v>
      </c>
      <c r="S187" s="11" t="s">
        <v>463</v>
      </c>
      <c r="T187" s="11" t="s">
        <v>453</v>
      </c>
      <c r="U187" s="13">
        <v>1</v>
      </c>
      <c r="V187" s="15">
        <f>H187+J187+L187+N187+P187</f>
        <v>21</v>
      </c>
      <c r="W187" s="15">
        <f>H187+I187+J187+K187+L187+M187+N187+O187+P187+Q187</f>
        <v>35</v>
      </c>
      <c r="X187" s="26">
        <f>V187/W187</f>
        <v>0.6</v>
      </c>
      <c r="Y187" s="26">
        <f>H187/(H187+I187)</f>
        <v>0.66666666666666663</v>
      </c>
      <c r="Z187" s="26">
        <f>J187/(J187+K187)</f>
        <v>0.75</v>
      </c>
      <c r="AA187" s="26" t="e">
        <f>L188/(L188+M188)</f>
        <v>#DIV/0!</v>
      </c>
      <c r="AB187" s="26">
        <f>N187/(N187+O187)</f>
        <v>0.66666666666666663</v>
      </c>
      <c r="AC187" s="26" t="e">
        <f>P187/(P187+Q187)</f>
        <v>#DIV/0!</v>
      </c>
      <c r="AD187" s="26">
        <f>V187/W187</f>
        <v>0.6</v>
      </c>
    </row>
    <row r="188" spans="1:30" x14ac:dyDescent="0.2">
      <c r="A188" s="14" t="s">
        <v>290</v>
      </c>
      <c r="B188" s="10" t="s">
        <v>438</v>
      </c>
      <c r="C188" s="10" t="s">
        <v>409</v>
      </c>
      <c r="D188" s="10" t="s">
        <v>467</v>
      </c>
      <c r="E188" s="18" t="s">
        <v>442</v>
      </c>
      <c r="F188" s="10" t="s">
        <v>542</v>
      </c>
      <c r="G188" s="16">
        <v>1</v>
      </c>
      <c r="H188" s="16">
        <v>6</v>
      </c>
      <c r="I188" s="16">
        <v>3</v>
      </c>
      <c r="J188" s="16">
        <v>7</v>
      </c>
      <c r="K188" s="16">
        <v>6</v>
      </c>
      <c r="L188" s="16"/>
      <c r="M188" s="16"/>
      <c r="N188" s="16"/>
      <c r="O188" s="16"/>
      <c r="P188" s="16"/>
      <c r="Q188" s="16"/>
      <c r="R188" s="10" t="s">
        <v>416</v>
      </c>
      <c r="S188" s="10" t="s">
        <v>473</v>
      </c>
      <c r="T188" s="10" t="s">
        <v>445</v>
      </c>
      <c r="U188" s="16">
        <v>2</v>
      </c>
      <c r="V188" s="15">
        <f>H188+J188+L188+N188+P188</f>
        <v>13</v>
      </c>
      <c r="W188" s="15">
        <f>H188+I188+J188+K188+L188+M188+N188+O188+P188+Q188</f>
        <v>22</v>
      </c>
      <c r="X188" s="26">
        <f>V188/W188</f>
        <v>0.59090909090909094</v>
      </c>
      <c r="Y188" s="26">
        <f>H188/(H188+I188)</f>
        <v>0.66666666666666663</v>
      </c>
      <c r="Z188" s="26">
        <f>J188/(J188+K188)</f>
        <v>0.53846153846153844</v>
      </c>
      <c r="AA188" s="26">
        <f>L189/(L189+M189)</f>
        <v>0.66666666666666663</v>
      </c>
      <c r="AB188" s="26" t="e">
        <f>N188/(N188+O188)</f>
        <v>#DIV/0!</v>
      </c>
      <c r="AC188" s="26" t="e">
        <f>P188/(P188+Q188)</f>
        <v>#DIV/0!</v>
      </c>
      <c r="AD188" s="26">
        <f>V188/W188</f>
        <v>0.59090909090909094</v>
      </c>
    </row>
    <row r="189" spans="1:30" x14ac:dyDescent="0.2">
      <c r="A189" s="14" t="s">
        <v>290</v>
      </c>
      <c r="B189" s="10" t="s">
        <v>305</v>
      </c>
      <c r="C189" s="10" t="s">
        <v>277</v>
      </c>
      <c r="D189" s="10" t="s">
        <v>465</v>
      </c>
      <c r="E189" s="10" t="s">
        <v>444</v>
      </c>
      <c r="F189" s="10" t="s">
        <v>527</v>
      </c>
      <c r="G189" s="16">
        <v>1</v>
      </c>
      <c r="H189" s="16">
        <v>7</v>
      </c>
      <c r="I189" s="16">
        <v>6</v>
      </c>
      <c r="J189" s="16">
        <v>6</v>
      </c>
      <c r="K189" s="16">
        <v>7</v>
      </c>
      <c r="L189" s="16">
        <v>6</v>
      </c>
      <c r="M189" s="16">
        <v>3</v>
      </c>
      <c r="N189" s="16">
        <v>6</v>
      </c>
      <c r="O189" s="16">
        <v>0</v>
      </c>
      <c r="P189" s="16"/>
      <c r="Q189" s="16"/>
      <c r="R189" s="10" t="s">
        <v>282</v>
      </c>
      <c r="S189" s="10" t="s">
        <v>457</v>
      </c>
      <c r="T189" s="10" t="s">
        <v>450</v>
      </c>
      <c r="U189" s="16">
        <v>6</v>
      </c>
      <c r="V189" s="15">
        <f>H189+J189+L189+N189+P189</f>
        <v>25</v>
      </c>
      <c r="W189" s="15">
        <f>H189+I189+J189+K189+L189+M189+N189+O189+P189+Q189</f>
        <v>41</v>
      </c>
      <c r="X189" s="26">
        <f>V189/W189</f>
        <v>0.6097560975609756</v>
      </c>
      <c r="Y189" s="26">
        <f>H189/(H189+I189)</f>
        <v>0.53846153846153844</v>
      </c>
      <c r="Z189" s="26">
        <f>J189/(J189+K189)</f>
        <v>0.46153846153846156</v>
      </c>
      <c r="AA189" s="26">
        <f>L190/(L190+M190)</f>
        <v>0.6</v>
      </c>
      <c r="AB189" s="26">
        <f>N189/(N189+O189)</f>
        <v>1</v>
      </c>
      <c r="AC189" s="26" t="e">
        <f>P189/(P189+Q189)</f>
        <v>#DIV/0!</v>
      </c>
      <c r="AD189" s="26">
        <f>V189/W189</f>
        <v>0.6097560975609756</v>
      </c>
    </row>
    <row r="190" spans="1:30" x14ac:dyDescent="0.2">
      <c r="A190" s="9" t="s">
        <v>291</v>
      </c>
      <c r="B190" s="10" t="s">
        <v>438</v>
      </c>
      <c r="C190" s="11" t="s">
        <v>427</v>
      </c>
      <c r="D190" s="11" t="s">
        <v>451</v>
      </c>
      <c r="E190" s="11" t="s">
        <v>449</v>
      </c>
      <c r="F190" s="11" t="s">
        <v>348</v>
      </c>
      <c r="G190" s="13">
        <v>7</v>
      </c>
      <c r="H190" s="13">
        <v>6</v>
      </c>
      <c r="I190" s="13">
        <v>4</v>
      </c>
      <c r="J190" s="13">
        <v>3</v>
      </c>
      <c r="K190" s="13">
        <v>6</v>
      </c>
      <c r="L190" s="13">
        <v>6</v>
      </c>
      <c r="M190" s="13">
        <v>4</v>
      </c>
      <c r="N190" s="13"/>
      <c r="O190" s="13"/>
      <c r="P190" s="13"/>
      <c r="Q190" s="13"/>
      <c r="R190" s="11" t="s">
        <v>409</v>
      </c>
      <c r="S190" s="11" t="s">
        <v>467</v>
      </c>
      <c r="T190" s="11" t="s">
        <v>442</v>
      </c>
      <c r="U190" s="13">
        <v>1</v>
      </c>
      <c r="V190" s="15">
        <f>H190+J190+L190+N190+P190</f>
        <v>15</v>
      </c>
      <c r="W190" s="15">
        <f>H190+I190+J190+K190+L190+M190+N190+O190+P190+Q190</f>
        <v>29</v>
      </c>
      <c r="X190" s="26">
        <f>V190/W190</f>
        <v>0.51724137931034486</v>
      </c>
      <c r="Y190" s="26">
        <f>H190/(H190+I190)</f>
        <v>0.6</v>
      </c>
      <c r="Z190" s="26">
        <f>J190/(J190+K190)</f>
        <v>0.33333333333333331</v>
      </c>
      <c r="AA190" s="26">
        <f>L191/(L191+M191)</f>
        <v>0.53846153846153844</v>
      </c>
      <c r="AB190" s="26" t="e">
        <f>N190/(N190+O190)</f>
        <v>#DIV/0!</v>
      </c>
      <c r="AC190" s="26" t="e">
        <f>P190/(P190+Q190)</f>
        <v>#DIV/0!</v>
      </c>
      <c r="AD190" s="26">
        <f>V190/W190</f>
        <v>0.51724137931034486</v>
      </c>
    </row>
    <row r="191" spans="1:30" x14ac:dyDescent="0.2">
      <c r="A191" s="9" t="s">
        <v>291</v>
      </c>
      <c r="B191" s="10" t="s">
        <v>305</v>
      </c>
      <c r="C191" s="11" t="s">
        <v>277</v>
      </c>
      <c r="D191" s="11" t="s">
        <v>465</v>
      </c>
      <c r="E191" s="17" t="s">
        <v>444</v>
      </c>
      <c r="F191" s="11" t="s">
        <v>528</v>
      </c>
      <c r="G191" s="13">
        <v>1</v>
      </c>
      <c r="H191" s="13">
        <v>6</v>
      </c>
      <c r="I191" s="13">
        <v>1</v>
      </c>
      <c r="J191" s="13">
        <v>7</v>
      </c>
      <c r="K191" s="13">
        <v>5</v>
      </c>
      <c r="L191" s="13">
        <v>7</v>
      </c>
      <c r="M191" s="13">
        <v>6</v>
      </c>
      <c r="N191" s="13"/>
      <c r="O191" s="13"/>
      <c r="P191" s="13"/>
      <c r="Q191" s="13"/>
      <c r="R191" s="11" t="s">
        <v>282</v>
      </c>
      <c r="S191" s="11" t="s">
        <v>457</v>
      </c>
      <c r="T191" s="11" t="s">
        <v>450</v>
      </c>
      <c r="U191" s="13">
        <v>2</v>
      </c>
      <c r="V191" s="15">
        <f>H191+J191+L191+N191+P191</f>
        <v>20</v>
      </c>
      <c r="W191" s="15">
        <f>H191+I191+J191+K191+L191+M191+N191+O191+P191+Q191</f>
        <v>32</v>
      </c>
      <c r="X191" s="26">
        <f>V191/W191</f>
        <v>0.625</v>
      </c>
      <c r="Y191" s="26">
        <f>H191/(H191+I191)</f>
        <v>0.8571428571428571</v>
      </c>
      <c r="Z191" s="26">
        <f>J191/(J191+K191)</f>
        <v>0.58333333333333337</v>
      </c>
      <c r="AA191" s="26" t="e">
        <f>L192/(L192+M192)</f>
        <v>#DIV/0!</v>
      </c>
      <c r="AB191" s="26" t="e">
        <f>N191/(N191+O191)</f>
        <v>#DIV/0!</v>
      </c>
      <c r="AC191" s="26" t="e">
        <f>P191/(P191+Q191)</f>
        <v>#DIV/0!</v>
      </c>
      <c r="AD191" s="26">
        <f>V191/W191</f>
        <v>0.625</v>
      </c>
    </row>
    <row r="192" spans="1:30" x14ac:dyDescent="0.2">
      <c r="A192" s="14" t="s">
        <v>292</v>
      </c>
      <c r="B192" s="10" t="s">
        <v>438</v>
      </c>
      <c r="C192" s="10" t="s">
        <v>409</v>
      </c>
      <c r="D192" s="10" t="s">
        <v>467</v>
      </c>
      <c r="E192" s="18" t="s">
        <v>442</v>
      </c>
      <c r="F192" s="10" t="s">
        <v>332</v>
      </c>
      <c r="G192" s="16">
        <v>2</v>
      </c>
      <c r="H192" s="16">
        <v>6</v>
      </c>
      <c r="I192" s="16">
        <v>4</v>
      </c>
      <c r="J192" s="16">
        <v>6</v>
      </c>
      <c r="K192" s="16">
        <v>4</v>
      </c>
      <c r="L192" s="16"/>
      <c r="M192" s="16"/>
      <c r="N192" s="16"/>
      <c r="O192" s="16"/>
      <c r="P192" s="16"/>
      <c r="Q192" s="16"/>
      <c r="R192" s="10" t="s">
        <v>410</v>
      </c>
      <c r="S192" s="10" t="s">
        <v>467</v>
      </c>
      <c r="T192" s="10" t="s">
        <v>442</v>
      </c>
      <c r="U192" s="16">
        <v>13</v>
      </c>
      <c r="V192" s="15">
        <f>H192+J192+L192+N192+P192</f>
        <v>12</v>
      </c>
      <c r="W192" s="15">
        <f>H192+I192+J192+K192+L192+M192+N192+O192+P192+Q192</f>
        <v>20</v>
      </c>
      <c r="X192" s="26">
        <f>V192/W192</f>
        <v>0.6</v>
      </c>
      <c r="Y192" s="26">
        <f>H192/(H192+I192)</f>
        <v>0.6</v>
      </c>
      <c r="Z192" s="26">
        <f>J192/(J192+K192)</f>
        <v>0.6</v>
      </c>
      <c r="AA192" s="26">
        <f>L193/(L193+M193)</f>
        <v>0.8571428571428571</v>
      </c>
      <c r="AB192" s="26" t="e">
        <f>N192/(N192+O192)</f>
        <v>#DIV/0!</v>
      </c>
      <c r="AC192" s="26" t="e">
        <f>P192/(P192+Q192)</f>
        <v>#DIV/0!</v>
      </c>
      <c r="AD192" s="26">
        <f>V192/W192</f>
        <v>0.6</v>
      </c>
    </row>
    <row r="193" spans="1:30" x14ac:dyDescent="0.2">
      <c r="A193" s="14" t="s">
        <v>292</v>
      </c>
      <c r="B193" s="10" t="s">
        <v>305</v>
      </c>
      <c r="C193" s="10" t="s">
        <v>267</v>
      </c>
      <c r="D193" s="10" t="s">
        <v>469</v>
      </c>
      <c r="E193" s="10" t="s">
        <v>462</v>
      </c>
      <c r="F193" s="10" t="s">
        <v>293</v>
      </c>
      <c r="G193" s="16">
        <v>17</v>
      </c>
      <c r="H193" s="16">
        <v>6</v>
      </c>
      <c r="I193" s="16">
        <v>4</v>
      </c>
      <c r="J193" s="16">
        <v>3</v>
      </c>
      <c r="K193" s="16">
        <v>6</v>
      </c>
      <c r="L193" s="16">
        <v>6</v>
      </c>
      <c r="M193" s="16">
        <v>1</v>
      </c>
      <c r="N193" s="16">
        <v>3</v>
      </c>
      <c r="O193" s="16">
        <v>6</v>
      </c>
      <c r="P193" s="16">
        <v>6</v>
      </c>
      <c r="Q193" s="16">
        <v>3</v>
      </c>
      <c r="R193" s="10" t="s">
        <v>280</v>
      </c>
      <c r="S193" s="10" t="s">
        <v>463</v>
      </c>
      <c r="T193" s="10" t="s">
        <v>453</v>
      </c>
      <c r="U193" s="16">
        <v>9</v>
      </c>
      <c r="V193" s="15">
        <f>H193+J193+L193+N193+P193</f>
        <v>24</v>
      </c>
      <c r="W193" s="15">
        <f>H193+I193+J193+K193+L193+M193+N193+O193+P193+Q193</f>
        <v>44</v>
      </c>
      <c r="X193" s="26">
        <f>V193/W193</f>
        <v>0.54545454545454541</v>
      </c>
      <c r="Y193" s="26">
        <f>H193/(H193+I193)</f>
        <v>0.6</v>
      </c>
      <c r="Z193" s="26">
        <f>J193/(J193+K193)</f>
        <v>0.33333333333333331</v>
      </c>
      <c r="AA193" s="26">
        <f>L194/(L194+M194)</f>
        <v>0.6</v>
      </c>
      <c r="AB193" s="26">
        <f>N193/(N193+O193)</f>
        <v>0.33333333333333331</v>
      </c>
      <c r="AC193" s="26">
        <f>P193/(P193+Q193)</f>
        <v>0.66666666666666663</v>
      </c>
      <c r="AD193" s="26">
        <f>V193/W193</f>
        <v>0.54545454545454541</v>
      </c>
    </row>
    <row r="194" spans="1:30" x14ac:dyDescent="0.2">
      <c r="A194" s="9" t="s">
        <v>294</v>
      </c>
      <c r="B194" s="10" t="s">
        <v>438</v>
      </c>
      <c r="C194" s="11" t="s">
        <v>428</v>
      </c>
      <c r="D194" s="11" t="s">
        <v>468</v>
      </c>
      <c r="E194" s="11" t="s">
        <v>454</v>
      </c>
      <c r="F194" s="11" t="s">
        <v>543</v>
      </c>
      <c r="G194" s="13">
        <v>2</v>
      </c>
      <c r="H194" s="13">
        <v>7</v>
      </c>
      <c r="I194" s="13">
        <v>6</v>
      </c>
      <c r="J194" s="13">
        <v>3</v>
      </c>
      <c r="K194" s="13">
        <v>6</v>
      </c>
      <c r="L194" s="13">
        <v>6</v>
      </c>
      <c r="M194" s="13">
        <v>4</v>
      </c>
      <c r="N194" s="13"/>
      <c r="O194" s="13"/>
      <c r="P194" s="13"/>
      <c r="Q194" s="13"/>
      <c r="R194" s="11" t="s">
        <v>429</v>
      </c>
      <c r="S194" s="11" t="s">
        <v>482</v>
      </c>
      <c r="T194" s="11" t="s">
        <v>489</v>
      </c>
      <c r="U194" s="13">
        <v>1</v>
      </c>
      <c r="V194" s="15">
        <f>H194+J194+L194+N194+P194</f>
        <v>16</v>
      </c>
      <c r="W194" s="15">
        <f>H194+I194+J194+K194+L194+M194+N194+O194+P194+Q194</f>
        <v>32</v>
      </c>
      <c r="X194" s="26">
        <f>V194/W194</f>
        <v>0.5</v>
      </c>
      <c r="Y194" s="26">
        <f>H194/(H194+I194)</f>
        <v>0.53846153846153844</v>
      </c>
      <c r="Z194" s="26">
        <f>J194/(J194+K194)</f>
        <v>0.33333333333333331</v>
      </c>
      <c r="AA194" s="26">
        <f>L195/(L195+M195)</f>
        <v>0.66666666666666663</v>
      </c>
      <c r="AB194" s="26" t="e">
        <f>N194/(N194+O194)</f>
        <v>#DIV/0!</v>
      </c>
      <c r="AC194" s="26" t="e">
        <f>P194/(P194+Q194)</f>
        <v>#DIV/0!</v>
      </c>
      <c r="AD194" s="26">
        <f>V194/W194</f>
        <v>0.5</v>
      </c>
    </row>
    <row r="195" spans="1:30" x14ac:dyDescent="0.2">
      <c r="A195" s="9" t="s">
        <v>294</v>
      </c>
      <c r="B195" s="10" t="s">
        <v>305</v>
      </c>
      <c r="C195" s="11" t="s">
        <v>267</v>
      </c>
      <c r="D195" s="11" t="s">
        <v>469</v>
      </c>
      <c r="E195" s="11" t="s">
        <v>462</v>
      </c>
      <c r="F195" s="11" t="s">
        <v>529</v>
      </c>
      <c r="G195" s="13">
        <v>2</v>
      </c>
      <c r="H195" s="13">
        <v>6</v>
      </c>
      <c r="I195" s="13">
        <v>2</v>
      </c>
      <c r="J195" s="13">
        <v>6</v>
      </c>
      <c r="K195" s="13">
        <v>7</v>
      </c>
      <c r="L195" s="13">
        <v>6</v>
      </c>
      <c r="M195" s="13">
        <v>3</v>
      </c>
      <c r="N195" s="13">
        <v>3</v>
      </c>
      <c r="O195" s="13">
        <v>6</v>
      </c>
      <c r="P195" s="13">
        <v>6</v>
      </c>
      <c r="Q195" s="13">
        <v>1</v>
      </c>
      <c r="R195" s="11" t="s">
        <v>295</v>
      </c>
      <c r="S195" s="11" t="s">
        <v>483</v>
      </c>
      <c r="T195" s="11" t="s">
        <v>490</v>
      </c>
      <c r="U195" s="13">
        <v>6</v>
      </c>
      <c r="V195" s="15">
        <f>H195+J195+L195+N195+P195</f>
        <v>27</v>
      </c>
      <c r="W195" s="15">
        <f>H195+I195+J195+K195+L195+M195+N195+O195+P195+Q195</f>
        <v>46</v>
      </c>
      <c r="X195" s="26">
        <f>V195/W195</f>
        <v>0.58695652173913049</v>
      </c>
      <c r="Y195" s="26">
        <f>H195/(H195+I195)</f>
        <v>0.75</v>
      </c>
      <c r="Z195" s="26">
        <f>J195/(J195+K195)</f>
        <v>0.46153846153846156</v>
      </c>
      <c r="AA195" s="26">
        <f>L196/(L196+M196)</f>
        <v>0.6</v>
      </c>
      <c r="AB195" s="26">
        <f>N195/(N195+O195)</f>
        <v>0.33333333333333331</v>
      </c>
      <c r="AC195" s="26">
        <f>P195/(P195+Q195)</f>
        <v>0.8571428571428571</v>
      </c>
      <c r="AD195" s="26">
        <f>V195/W195</f>
        <v>0.58695652173913049</v>
      </c>
    </row>
    <row r="196" spans="1:30" x14ac:dyDescent="0.2">
      <c r="A196" s="14" t="s">
        <v>296</v>
      </c>
      <c r="B196" s="10" t="s">
        <v>438</v>
      </c>
      <c r="C196" s="10" t="s">
        <v>430</v>
      </c>
      <c r="D196" s="10" t="s">
        <v>466</v>
      </c>
      <c r="E196" s="10" t="s">
        <v>448</v>
      </c>
      <c r="F196" s="10" t="s">
        <v>544</v>
      </c>
      <c r="G196" s="16">
        <v>4</v>
      </c>
      <c r="H196" s="16">
        <v>7</v>
      </c>
      <c r="I196" s="16">
        <v>6</v>
      </c>
      <c r="J196" s="16">
        <v>5</v>
      </c>
      <c r="K196" s="16">
        <v>7</v>
      </c>
      <c r="L196" s="16">
        <v>6</v>
      </c>
      <c r="M196" s="16">
        <v>4</v>
      </c>
      <c r="N196" s="16"/>
      <c r="O196" s="16"/>
      <c r="P196" s="16"/>
      <c r="Q196" s="16"/>
      <c r="R196" s="10" t="s">
        <v>431</v>
      </c>
      <c r="S196" s="10" t="s">
        <v>476</v>
      </c>
      <c r="T196" s="10" t="s">
        <v>455</v>
      </c>
      <c r="U196" s="16">
        <v>8</v>
      </c>
      <c r="V196" s="15">
        <f>H196+J196+L196+N196+P196</f>
        <v>18</v>
      </c>
      <c r="W196" s="15">
        <f>H196+I196+J196+K196+L196+M196+N196+O196+P196+Q196</f>
        <v>35</v>
      </c>
      <c r="X196" s="26">
        <f>V196/W196</f>
        <v>0.51428571428571423</v>
      </c>
      <c r="Y196" s="26">
        <f>H196/(H196+I196)</f>
        <v>0.53846153846153844</v>
      </c>
      <c r="Z196" s="26">
        <f>J196/(J196+K196)</f>
        <v>0.41666666666666669</v>
      </c>
      <c r="AA196" s="26">
        <f>L197/(L197+M197)</f>
        <v>0.66666666666666663</v>
      </c>
      <c r="AB196" s="26" t="e">
        <f>N196/(N196+O196)</f>
        <v>#DIV/0!</v>
      </c>
      <c r="AC196" s="26" t="e">
        <f>P196/(P196+Q196)</f>
        <v>#DIV/0!</v>
      </c>
      <c r="AD196" s="26">
        <f>V196/W196</f>
        <v>0.51428571428571423</v>
      </c>
    </row>
    <row r="197" spans="1:30" x14ac:dyDescent="0.2">
      <c r="A197" s="14" t="s">
        <v>296</v>
      </c>
      <c r="B197" s="10" t="s">
        <v>305</v>
      </c>
      <c r="C197" s="10" t="s">
        <v>277</v>
      </c>
      <c r="D197" s="10" t="s">
        <v>465</v>
      </c>
      <c r="E197" s="10" t="s">
        <v>444</v>
      </c>
      <c r="F197" s="10" t="s">
        <v>297</v>
      </c>
      <c r="G197" s="16">
        <v>1</v>
      </c>
      <c r="H197" s="16">
        <v>6</v>
      </c>
      <c r="I197" s="16">
        <v>3</v>
      </c>
      <c r="J197" s="16">
        <v>6</v>
      </c>
      <c r="K197" s="16">
        <v>2</v>
      </c>
      <c r="L197" s="16">
        <v>6</v>
      </c>
      <c r="M197" s="16">
        <v>3</v>
      </c>
      <c r="N197" s="16"/>
      <c r="O197" s="16"/>
      <c r="P197" s="16"/>
      <c r="Q197" s="16"/>
      <c r="R197" s="10" t="s">
        <v>280</v>
      </c>
      <c r="S197" s="10" t="s">
        <v>463</v>
      </c>
      <c r="T197" s="10" t="s">
        <v>453</v>
      </c>
      <c r="U197" s="16">
        <v>2</v>
      </c>
      <c r="V197" s="15">
        <f>H197+J197+L197+N197+P197</f>
        <v>18</v>
      </c>
      <c r="W197" s="15">
        <f>H197+I197+J197+K197+L197+M197+N197+O197+P197+Q197</f>
        <v>26</v>
      </c>
      <c r="X197" s="26">
        <f>V197/W197</f>
        <v>0.69230769230769229</v>
      </c>
      <c r="Y197" s="26">
        <f>H197/(H197+I197)</f>
        <v>0.66666666666666663</v>
      </c>
      <c r="Z197" s="26">
        <f>J197/(J197+K197)</f>
        <v>0.75</v>
      </c>
      <c r="AA197" s="26">
        <f>L198/(L198+M198)</f>
        <v>0.75</v>
      </c>
      <c r="AB197" s="26" t="e">
        <f>N197/(N197+O197)</f>
        <v>#DIV/0!</v>
      </c>
      <c r="AC197" s="26" t="e">
        <f>P197/(P197+Q197)</f>
        <v>#DIV/0!</v>
      </c>
      <c r="AD197" s="26">
        <f>V197/W197</f>
        <v>0.69230769230769229</v>
      </c>
    </row>
    <row r="198" spans="1:30" x14ac:dyDescent="0.2">
      <c r="A198" s="9" t="s">
        <v>298</v>
      </c>
      <c r="B198" s="10" t="s">
        <v>438</v>
      </c>
      <c r="C198" s="11" t="s">
        <v>432</v>
      </c>
      <c r="D198" s="11" t="s">
        <v>467</v>
      </c>
      <c r="E198" s="11" t="s">
        <v>442</v>
      </c>
      <c r="F198" s="11" t="s">
        <v>434</v>
      </c>
      <c r="G198" s="13">
        <v>14</v>
      </c>
      <c r="H198" s="13">
        <v>4</v>
      </c>
      <c r="I198" s="13">
        <v>6</v>
      </c>
      <c r="J198" s="13">
        <v>6</v>
      </c>
      <c r="K198" s="13">
        <v>2</v>
      </c>
      <c r="L198" s="13">
        <v>6</v>
      </c>
      <c r="M198" s="13">
        <v>2</v>
      </c>
      <c r="N198" s="13"/>
      <c r="O198" s="13"/>
      <c r="P198" s="13"/>
      <c r="Q198" s="13"/>
      <c r="R198" s="11" t="s">
        <v>433</v>
      </c>
      <c r="S198" s="11" t="s">
        <v>463</v>
      </c>
      <c r="T198" s="11" t="s">
        <v>453</v>
      </c>
      <c r="U198" s="13" t="s">
        <v>563</v>
      </c>
      <c r="V198" s="15">
        <f>H198+J198+L198+N198+P198</f>
        <v>16</v>
      </c>
      <c r="W198" s="15">
        <f>H198+I198+J198+K198+L198+M198+N198+O198+P198+Q198</f>
        <v>26</v>
      </c>
      <c r="X198" s="26">
        <f>V198/W198</f>
        <v>0.61538461538461542</v>
      </c>
      <c r="Y198" s="26">
        <f>H198/(H198+I198)</f>
        <v>0.4</v>
      </c>
      <c r="Z198" s="26">
        <f>J198/(J198+K198)</f>
        <v>0.75</v>
      </c>
      <c r="AA198" s="26">
        <f>L199/(L199+M199)</f>
        <v>0.25</v>
      </c>
      <c r="AB198" s="26" t="e">
        <f>N198/(N198+O198)</f>
        <v>#DIV/0!</v>
      </c>
      <c r="AC198" s="26" t="e">
        <f>P198/(P198+Q198)</f>
        <v>#DIV/0!</v>
      </c>
      <c r="AD198" s="26">
        <f>V198/W198</f>
        <v>0.61538461538461542</v>
      </c>
    </row>
    <row r="199" spans="1:30" x14ac:dyDescent="0.2">
      <c r="A199" s="9" t="s">
        <v>298</v>
      </c>
      <c r="B199" s="10" t="s">
        <v>305</v>
      </c>
      <c r="C199" s="11" t="s">
        <v>277</v>
      </c>
      <c r="D199" s="11" t="s">
        <v>465</v>
      </c>
      <c r="E199" s="17" t="s">
        <v>444</v>
      </c>
      <c r="F199" s="11" t="s">
        <v>300</v>
      </c>
      <c r="G199" s="13">
        <v>2</v>
      </c>
      <c r="H199" s="13">
        <v>6</v>
      </c>
      <c r="I199" s="13">
        <v>4</v>
      </c>
      <c r="J199" s="13">
        <v>4</v>
      </c>
      <c r="K199" s="13">
        <v>6</v>
      </c>
      <c r="L199" s="13">
        <v>2</v>
      </c>
      <c r="M199" s="13">
        <v>6</v>
      </c>
      <c r="N199" s="13">
        <v>6</v>
      </c>
      <c r="O199" s="13">
        <v>3</v>
      </c>
      <c r="P199" s="13">
        <v>6</v>
      </c>
      <c r="Q199" s="13">
        <v>4</v>
      </c>
      <c r="R199" s="11" t="s">
        <v>299</v>
      </c>
      <c r="S199" s="11" t="s">
        <v>481</v>
      </c>
      <c r="T199" s="11" t="s">
        <v>494</v>
      </c>
      <c r="U199" s="13">
        <v>5</v>
      </c>
      <c r="V199" s="15">
        <f>H199+J199+L199+N199+P199</f>
        <v>24</v>
      </c>
      <c r="W199" s="15">
        <f>H199+I199+J199+K199+L199+M199+N199+O199+P199+Q199</f>
        <v>47</v>
      </c>
      <c r="X199" s="26">
        <f>V199/W199</f>
        <v>0.51063829787234039</v>
      </c>
      <c r="Y199" s="26">
        <f>H199/(H199+I199)</f>
        <v>0.6</v>
      </c>
      <c r="Z199" s="26">
        <f>J199/(J199+K199)</f>
        <v>0.4</v>
      </c>
      <c r="AA199" s="26" t="e">
        <f>L200/(L200+M200)</f>
        <v>#DIV/0!</v>
      </c>
      <c r="AB199" s="26">
        <f>N199/(N199+O199)</f>
        <v>0.66666666666666663</v>
      </c>
      <c r="AC199" s="26">
        <f>P199/(P199+Q199)</f>
        <v>0.6</v>
      </c>
      <c r="AD199" s="26">
        <f>V199/W199</f>
        <v>0.51063829787234039</v>
      </c>
    </row>
    <row r="200" spans="1:30" x14ac:dyDescent="0.2">
      <c r="A200" s="14" t="s">
        <v>301</v>
      </c>
      <c r="B200" s="10" t="s">
        <v>438</v>
      </c>
      <c r="C200" s="10" t="s">
        <v>430</v>
      </c>
      <c r="D200" s="10" t="s">
        <v>466</v>
      </c>
      <c r="E200" s="10" t="s">
        <v>448</v>
      </c>
      <c r="F200" s="10" t="s">
        <v>326</v>
      </c>
      <c r="G200" s="16">
        <v>3</v>
      </c>
      <c r="H200" s="16">
        <v>6</v>
      </c>
      <c r="I200" s="16">
        <v>4</v>
      </c>
      <c r="J200" s="16">
        <v>6</v>
      </c>
      <c r="K200" s="16">
        <v>3</v>
      </c>
      <c r="L200" s="16"/>
      <c r="M200" s="16"/>
      <c r="N200" s="16"/>
      <c r="O200" s="16"/>
      <c r="P200" s="16"/>
      <c r="Q200" s="16"/>
      <c r="R200" s="10" t="s">
        <v>435</v>
      </c>
      <c r="S200" s="10" t="s">
        <v>467</v>
      </c>
      <c r="T200" s="10" t="s">
        <v>442</v>
      </c>
      <c r="U200" s="16">
        <v>22</v>
      </c>
      <c r="V200" s="15">
        <f>H200+J200+L200+N200+P200</f>
        <v>12</v>
      </c>
      <c r="W200" s="15">
        <f>H200+I200+J200+K200+L200+M200+N200+O200+P200+Q200</f>
        <v>19</v>
      </c>
      <c r="X200" s="26">
        <f>V200/W200</f>
        <v>0.63157894736842102</v>
      </c>
      <c r="Y200" s="26">
        <f>H200/(H200+I200)</f>
        <v>0.6</v>
      </c>
      <c r="Z200" s="26">
        <f>J200/(J200+K200)</f>
        <v>0.66666666666666663</v>
      </c>
      <c r="AA200" s="26">
        <f>L201/(L201+M201)</f>
        <v>0.75</v>
      </c>
      <c r="AB200" s="26" t="e">
        <f>N200/(N200+O200)</f>
        <v>#DIV/0!</v>
      </c>
      <c r="AC200" s="26" t="e">
        <f>P200/(P200+Q200)</f>
        <v>#DIV/0!</v>
      </c>
      <c r="AD200" s="26">
        <f>V200/W200</f>
        <v>0.63157894736842102</v>
      </c>
    </row>
    <row r="201" spans="1:30" x14ac:dyDescent="0.2">
      <c r="A201" s="14" t="s">
        <v>301</v>
      </c>
      <c r="B201" s="10" t="s">
        <v>305</v>
      </c>
      <c r="C201" s="10" t="s">
        <v>277</v>
      </c>
      <c r="D201" s="10" t="s">
        <v>465</v>
      </c>
      <c r="E201" s="10" t="s">
        <v>444</v>
      </c>
      <c r="F201" s="10" t="s">
        <v>303</v>
      </c>
      <c r="G201" s="16">
        <v>1</v>
      </c>
      <c r="H201" s="16">
        <v>7</v>
      </c>
      <c r="I201" s="16">
        <v>5</v>
      </c>
      <c r="J201" s="16">
        <v>6</v>
      </c>
      <c r="K201" s="16">
        <v>2</v>
      </c>
      <c r="L201" s="16">
        <v>6</v>
      </c>
      <c r="M201" s="16">
        <v>2</v>
      </c>
      <c r="N201" s="16"/>
      <c r="O201" s="16"/>
      <c r="P201" s="16"/>
      <c r="Q201" s="16"/>
      <c r="R201" s="10" t="s">
        <v>302</v>
      </c>
      <c r="S201" s="10" t="s">
        <v>473</v>
      </c>
      <c r="T201" s="10" t="s">
        <v>445</v>
      </c>
      <c r="U201" s="16">
        <v>4</v>
      </c>
      <c r="V201" s="15">
        <f>H201+J201+L201+N201+P201</f>
        <v>19</v>
      </c>
      <c r="W201" s="15">
        <f>H201+I201+J201+K201+L201+M201+N201+O201+P201+Q201</f>
        <v>28</v>
      </c>
      <c r="X201" s="26">
        <f>V201/W201</f>
        <v>0.6785714285714286</v>
      </c>
      <c r="Y201" s="26">
        <f>H201/(H201+I201)</f>
        <v>0.58333333333333337</v>
      </c>
      <c r="Z201" s="26">
        <f>J201/(J201+K201)</f>
        <v>0.75</v>
      </c>
      <c r="AA201" s="26" t="e">
        <f>L202/(L202+M202)</f>
        <v>#DIV/0!</v>
      </c>
      <c r="AB201" s="26" t="e">
        <f>N201/(N201+O201)</f>
        <v>#DIV/0!</v>
      </c>
      <c r="AC201" s="26" t="e">
        <f>P201/(P201+Q201)</f>
        <v>#DIV/0!</v>
      </c>
      <c r="AD201" s="26">
        <f>V201/W201</f>
        <v>0.6785714285714286</v>
      </c>
    </row>
    <row r="202" spans="1:30" x14ac:dyDescent="0.2">
      <c r="A202" s="9" t="s">
        <v>304</v>
      </c>
      <c r="B202" s="10" t="s">
        <v>438</v>
      </c>
      <c r="C202" s="11" t="s">
        <v>436</v>
      </c>
      <c r="D202" s="11" t="s">
        <v>464</v>
      </c>
      <c r="E202" s="11" t="s">
        <v>460</v>
      </c>
      <c r="F202" s="12" t="s">
        <v>545</v>
      </c>
      <c r="G202" s="13">
        <v>1</v>
      </c>
      <c r="H202" s="13">
        <v>6</v>
      </c>
      <c r="I202" s="13">
        <v>3</v>
      </c>
      <c r="J202" s="13">
        <v>7</v>
      </c>
      <c r="K202" s="13">
        <v>6</v>
      </c>
      <c r="L202" s="13"/>
      <c r="M202" s="13"/>
      <c r="N202" s="13"/>
      <c r="O202" s="13"/>
      <c r="P202" s="13"/>
      <c r="Q202" s="13"/>
      <c r="R202" s="11" t="s">
        <v>437</v>
      </c>
      <c r="S202" s="11" t="s">
        <v>467</v>
      </c>
      <c r="T202" s="11" t="s">
        <v>442</v>
      </c>
      <c r="U202" s="13">
        <v>27</v>
      </c>
      <c r="V202" s="15">
        <f>H202+J202+L202+N202+P202</f>
        <v>13</v>
      </c>
      <c r="W202" s="15">
        <f>H202+I202+J202+K202+L202+M202+N202+O202+P202+Q202</f>
        <v>22</v>
      </c>
      <c r="X202" s="26">
        <f>V202/W202</f>
        <v>0.59090909090909094</v>
      </c>
      <c r="Y202" s="26">
        <f>H202/(H202+I202)</f>
        <v>0.66666666666666663</v>
      </c>
      <c r="Z202" s="26">
        <f>J202/(J202+K202)</f>
        <v>0.53846153846153844</v>
      </c>
      <c r="AA202" s="26">
        <f>L203/(L203+M203)</f>
        <v>0.6</v>
      </c>
      <c r="AB202" s="26" t="e">
        <f>N202/(N202+O202)</f>
        <v>#DIV/0!</v>
      </c>
      <c r="AC202" s="26" t="e">
        <f>P202/(P202+Q202)</f>
        <v>#DIV/0!</v>
      </c>
      <c r="AD202" s="26">
        <f>V202/W202</f>
        <v>0.59090909090909094</v>
      </c>
    </row>
    <row r="203" spans="1:30" x14ac:dyDescent="0.2">
      <c r="A203" s="9" t="s">
        <v>304</v>
      </c>
      <c r="B203" s="10" t="s">
        <v>305</v>
      </c>
      <c r="C203" s="11" t="s">
        <v>280</v>
      </c>
      <c r="D203" s="11" t="s">
        <v>463</v>
      </c>
      <c r="E203" s="11" t="s">
        <v>453</v>
      </c>
      <c r="F203" s="11" t="s">
        <v>530</v>
      </c>
      <c r="G203" s="13">
        <v>2</v>
      </c>
      <c r="H203" s="13">
        <v>2</v>
      </c>
      <c r="I203" s="13">
        <v>6</v>
      </c>
      <c r="J203" s="13">
        <v>6</v>
      </c>
      <c r="K203" s="13">
        <v>7</v>
      </c>
      <c r="L203" s="13">
        <v>6</v>
      </c>
      <c r="M203" s="13">
        <v>4</v>
      </c>
      <c r="N203" s="13">
        <v>6</v>
      </c>
      <c r="O203" s="13">
        <v>4</v>
      </c>
      <c r="P203" s="13">
        <v>7</v>
      </c>
      <c r="Q203" s="13">
        <v>5</v>
      </c>
      <c r="R203" s="11" t="s">
        <v>302</v>
      </c>
      <c r="S203" s="11" t="s">
        <v>473</v>
      </c>
      <c r="T203" s="11" t="s">
        <v>445</v>
      </c>
      <c r="U203" s="13">
        <v>6</v>
      </c>
      <c r="V203" s="15">
        <f>H203+J203+L203+N203+P203</f>
        <v>27</v>
      </c>
      <c r="W203" s="15">
        <f>H203+I203+J203+K203+L203+M203+N203+O203+P203+Q203</f>
        <v>53</v>
      </c>
      <c r="X203" s="26">
        <f>V203/W203</f>
        <v>0.50943396226415094</v>
      </c>
      <c r="Y203" s="26">
        <f>H203/(H203+I203)</f>
        <v>0.25</v>
      </c>
      <c r="Z203" s="26">
        <f>J203/(J203+K203)</f>
        <v>0.46153846153846156</v>
      </c>
      <c r="AA203" s="26">
        <f>L204/(L204+M204)</f>
        <v>0.6</v>
      </c>
      <c r="AB203" s="26">
        <f>N203/(N203+O203)</f>
        <v>0.6</v>
      </c>
      <c r="AC203" s="26">
        <f>P203/(P203+Q203)</f>
        <v>0.58333333333333337</v>
      </c>
      <c r="AD203" s="26">
        <f>V203/W203</f>
        <v>0.50943396226415094</v>
      </c>
    </row>
    <row r="204" spans="1:30" x14ac:dyDescent="0.2">
      <c r="A204" s="14">
        <v>2023</v>
      </c>
      <c r="B204" s="10" t="s">
        <v>438</v>
      </c>
      <c r="C204" s="15" t="s">
        <v>547</v>
      </c>
      <c r="D204" s="15" t="s">
        <v>471</v>
      </c>
      <c r="E204" s="15" t="s">
        <v>458</v>
      </c>
      <c r="F204" s="15" t="s">
        <v>554</v>
      </c>
      <c r="G204" s="16">
        <v>5</v>
      </c>
      <c r="H204" s="16">
        <v>4</v>
      </c>
      <c r="I204" s="16">
        <v>6</v>
      </c>
      <c r="J204" s="16">
        <v>6</v>
      </c>
      <c r="K204" s="16">
        <v>3</v>
      </c>
      <c r="L204" s="16">
        <v>6</v>
      </c>
      <c r="M204" s="16">
        <v>4</v>
      </c>
      <c r="N204" s="16"/>
      <c r="O204" s="16"/>
      <c r="P204" s="16"/>
      <c r="Q204" s="16"/>
      <c r="R204" s="15" t="s">
        <v>548</v>
      </c>
      <c r="S204" s="15" t="s">
        <v>549</v>
      </c>
      <c r="T204" s="15" t="s">
        <v>553</v>
      </c>
      <c r="U204" s="16">
        <v>22</v>
      </c>
      <c r="V204" s="15">
        <f>H204+J204+L204+N204+P204</f>
        <v>16</v>
      </c>
      <c r="W204" s="15">
        <f>H204+I204+J204+K204+L204+M204+N204+O204+P204+Q204</f>
        <v>29</v>
      </c>
      <c r="X204" s="26">
        <f>V204/W204</f>
        <v>0.55172413793103448</v>
      </c>
      <c r="Y204" s="26">
        <f>H204/(H204+I204)</f>
        <v>0.4</v>
      </c>
      <c r="Z204" s="26">
        <f>J204/(J204+K204)</f>
        <v>0.66666666666666663</v>
      </c>
      <c r="AA204" s="26">
        <f>L205/(L205+M205)</f>
        <v>0.53846153846153844</v>
      </c>
      <c r="AB204" s="26" t="e">
        <f>N204/(N204+O204)</f>
        <v>#DIV/0!</v>
      </c>
      <c r="AC204" s="26" t="e">
        <f>P204/(P204+Q204)</f>
        <v>#DIV/0!</v>
      </c>
      <c r="AD204" s="26">
        <f>V204/W204</f>
        <v>0.55172413793103448</v>
      </c>
    </row>
    <row r="205" spans="1:30" x14ac:dyDescent="0.2">
      <c r="A205" s="14">
        <v>2023</v>
      </c>
      <c r="B205" s="10" t="s">
        <v>305</v>
      </c>
      <c r="C205" s="10" t="s">
        <v>277</v>
      </c>
      <c r="D205" s="10" t="s">
        <v>465</v>
      </c>
      <c r="E205" s="10" t="s">
        <v>444</v>
      </c>
      <c r="F205" s="15" t="s">
        <v>546</v>
      </c>
      <c r="G205" s="16">
        <v>4</v>
      </c>
      <c r="H205" s="16">
        <v>6</v>
      </c>
      <c r="I205" s="16">
        <v>3</v>
      </c>
      <c r="J205" s="16">
        <v>7</v>
      </c>
      <c r="K205" s="16">
        <v>6</v>
      </c>
      <c r="L205" s="16">
        <v>7</v>
      </c>
      <c r="M205" s="16">
        <v>6</v>
      </c>
      <c r="N205" s="16"/>
      <c r="O205" s="16"/>
      <c r="P205" s="16"/>
      <c r="Q205" s="16"/>
      <c r="R205" s="15" t="s">
        <v>550</v>
      </c>
      <c r="S205" s="15" t="s">
        <v>551</v>
      </c>
      <c r="T205" s="15" t="s">
        <v>552</v>
      </c>
      <c r="U205" s="16">
        <v>3</v>
      </c>
      <c r="V205" s="15">
        <f>H205+J205+L205+N205+P205</f>
        <v>20</v>
      </c>
      <c r="W205" s="15">
        <f>H205+I205+J205+K205+L205+M205+N205+O205+P205+Q205</f>
        <v>35</v>
      </c>
      <c r="X205" s="26">
        <f>V205/W205</f>
        <v>0.5714285714285714</v>
      </c>
      <c r="Y205" s="26">
        <f>H205/(H205+I205)</f>
        <v>0.66666666666666663</v>
      </c>
      <c r="Z205" s="26">
        <f>J205/(J205+K205)</f>
        <v>0.53846153846153844</v>
      </c>
      <c r="AA205" s="26" t="e">
        <f>L206/(L206+M206)</f>
        <v>#DIV/0!</v>
      </c>
      <c r="AB205" s="26" t="e">
        <f>N205/(N205+O205)</f>
        <v>#DIV/0!</v>
      </c>
      <c r="AC205" s="26" t="e">
        <f>P205/(P205+Q205)</f>
        <v>#DIV/0!</v>
      </c>
      <c r="AD205" s="26">
        <f>V205/W205</f>
        <v>0.5714285714285714</v>
      </c>
    </row>
    <row r="206" spans="1:30" x14ac:dyDescent="0.2">
      <c r="A206" s="9">
        <v>2024</v>
      </c>
      <c r="B206" s="10" t="s">
        <v>438</v>
      </c>
      <c r="C206" s="11" t="s">
        <v>547</v>
      </c>
      <c r="D206" s="11" t="s">
        <v>471</v>
      </c>
      <c r="E206" s="11" t="s">
        <v>458</v>
      </c>
      <c r="F206" s="12" t="s">
        <v>555</v>
      </c>
      <c r="G206" s="13">
        <v>2</v>
      </c>
      <c r="H206" s="13">
        <v>6</v>
      </c>
      <c r="I206" s="13">
        <v>3</v>
      </c>
      <c r="J206" s="13">
        <v>6</v>
      </c>
      <c r="K206" s="13">
        <v>2</v>
      </c>
      <c r="L206" s="13"/>
      <c r="M206" s="13"/>
      <c r="N206" s="13"/>
      <c r="O206" s="13"/>
      <c r="P206" s="13"/>
      <c r="Q206" s="13"/>
      <c r="R206" s="11" t="s">
        <v>556</v>
      </c>
      <c r="S206" s="11" t="s">
        <v>470</v>
      </c>
      <c r="T206" s="11" t="s">
        <v>456</v>
      </c>
      <c r="U206" s="13">
        <v>2</v>
      </c>
      <c r="V206" s="15">
        <f>H206+J206+L206+N206+P206</f>
        <v>12</v>
      </c>
      <c r="W206" s="15">
        <f>H206+I206+J206+K206+L206+M206+N206+O206+P206+Q206</f>
        <v>17</v>
      </c>
      <c r="X206" s="26">
        <f>V206/W206</f>
        <v>0.70588235294117652</v>
      </c>
      <c r="Y206" s="26">
        <f>H206/(H206+I206)</f>
        <v>0.66666666666666663</v>
      </c>
      <c r="Z206" s="26">
        <f>J206/(J206+K206)</f>
        <v>0.75</v>
      </c>
      <c r="AA206" s="26">
        <f>L207/(L207+M207)</f>
        <v>0.6</v>
      </c>
      <c r="AB206" s="26" t="e">
        <f>N206/(N206+O206)</f>
        <v>#DIV/0!</v>
      </c>
      <c r="AC206" s="26" t="e">
        <f>P206/(P206+Q206)</f>
        <v>#DIV/0!</v>
      </c>
      <c r="AD206" s="26">
        <f>V206/W206</f>
        <v>0.70588235294117652</v>
      </c>
    </row>
    <row r="207" spans="1:30" x14ac:dyDescent="0.2">
      <c r="A207" s="9">
        <v>2024</v>
      </c>
      <c r="B207" s="10" t="s">
        <v>305</v>
      </c>
      <c r="C207" s="11" t="s">
        <v>565</v>
      </c>
      <c r="D207" s="11" t="s">
        <v>557</v>
      </c>
      <c r="E207" s="11" t="s">
        <v>558</v>
      </c>
      <c r="F207" s="12" t="s">
        <v>559</v>
      </c>
      <c r="G207" s="13">
        <v>4</v>
      </c>
      <c r="H207" s="13">
        <v>3</v>
      </c>
      <c r="I207" s="13">
        <v>6</v>
      </c>
      <c r="J207" s="13">
        <v>3</v>
      </c>
      <c r="K207" s="13">
        <v>6</v>
      </c>
      <c r="L207" s="13">
        <v>6</v>
      </c>
      <c r="M207" s="13">
        <v>4</v>
      </c>
      <c r="N207" s="13">
        <v>6</v>
      </c>
      <c r="O207" s="13">
        <v>4</v>
      </c>
      <c r="P207" s="13">
        <v>6</v>
      </c>
      <c r="Q207" s="13">
        <v>3</v>
      </c>
      <c r="R207" s="11" t="s">
        <v>302</v>
      </c>
      <c r="S207" s="11" t="s">
        <v>473</v>
      </c>
      <c r="T207" s="11" t="s">
        <v>445</v>
      </c>
      <c r="U207" s="13">
        <v>3</v>
      </c>
      <c r="V207" s="15">
        <f>H207+J207+L207+N207+P207</f>
        <v>24</v>
      </c>
      <c r="W207" s="15">
        <f>H207+I207+J207+K207+L207+M207+N207+O207+P207+Q207</f>
        <v>47</v>
      </c>
      <c r="X207" s="26">
        <f>V207/W207</f>
        <v>0.51063829787234039</v>
      </c>
      <c r="Y207" s="26">
        <f>H207/(H207+I207)</f>
        <v>0.33333333333333331</v>
      </c>
      <c r="Z207" s="26">
        <f>J207/(J207+K207)</f>
        <v>0.33333333333333331</v>
      </c>
      <c r="AA207" s="26">
        <f>L208/(L208+M208)</f>
        <v>0.58333333333333337</v>
      </c>
      <c r="AB207" s="26">
        <f>N207/(N207+O207)</f>
        <v>0.6</v>
      </c>
      <c r="AC207" s="26">
        <f>P207/(P207+Q207)</f>
        <v>0.66666666666666663</v>
      </c>
      <c r="AD207" s="26">
        <f>V207/W207</f>
        <v>0.51063829787234039</v>
      </c>
    </row>
    <row r="208" spans="1:30" x14ac:dyDescent="0.2">
      <c r="A208" s="21" t="s">
        <v>566</v>
      </c>
      <c r="B208" s="15" t="s">
        <v>438</v>
      </c>
      <c r="C208" s="15" t="s">
        <v>569</v>
      </c>
      <c r="D208" s="15" t="s">
        <v>467</v>
      </c>
      <c r="E208" s="15" t="s">
        <v>442</v>
      </c>
      <c r="F208" s="15" t="s">
        <v>570</v>
      </c>
      <c r="G208" s="16">
        <v>19</v>
      </c>
      <c r="H208" s="16">
        <v>6</v>
      </c>
      <c r="I208" s="16">
        <v>3</v>
      </c>
      <c r="J208" s="16">
        <v>2</v>
      </c>
      <c r="K208" s="16">
        <v>6</v>
      </c>
      <c r="L208" s="16">
        <v>7</v>
      </c>
      <c r="M208" s="16">
        <v>5</v>
      </c>
      <c r="N208" s="16"/>
      <c r="O208" s="16"/>
      <c r="P208" s="16"/>
      <c r="Q208" s="16"/>
      <c r="R208" s="15" t="s">
        <v>547</v>
      </c>
      <c r="S208" s="15" t="s">
        <v>471</v>
      </c>
      <c r="T208" s="15" t="s">
        <v>458</v>
      </c>
      <c r="U208" s="16">
        <v>1</v>
      </c>
      <c r="V208" s="15">
        <f>H208+J208+L208+N208+P208</f>
        <v>15</v>
      </c>
      <c r="W208" s="15">
        <f>H208+I208+J208+K208+L208+M208+N208+O208+P208+Q208</f>
        <v>29</v>
      </c>
      <c r="X208" s="26">
        <f>V208/W208</f>
        <v>0.51724137931034486</v>
      </c>
      <c r="Y208" s="26">
        <f>H208/(H208+I208)</f>
        <v>0.66666666666666663</v>
      </c>
      <c r="Z208" s="26">
        <f>J208/(J208+K208)</f>
        <v>0.25</v>
      </c>
      <c r="AA208" s="26">
        <f>L209/(L209+M209)</f>
        <v>0.66666666666666663</v>
      </c>
      <c r="AB208" s="26" t="e">
        <f>N208/(N208+O208)</f>
        <v>#DIV/0!</v>
      </c>
      <c r="AC208" s="26" t="e">
        <f>P208/(P208+Q208)</f>
        <v>#DIV/0!</v>
      </c>
      <c r="AD208" s="26">
        <f>V208/W208</f>
        <v>0.51724137931034486</v>
      </c>
    </row>
    <row r="209" spans="1:30" x14ac:dyDescent="0.2">
      <c r="A209" s="21" t="s">
        <v>566</v>
      </c>
      <c r="B209" s="15" t="s">
        <v>305</v>
      </c>
      <c r="C209" s="15" t="s">
        <v>565</v>
      </c>
      <c r="D209" s="15" t="s">
        <v>557</v>
      </c>
      <c r="E209" s="15" t="s">
        <v>558</v>
      </c>
      <c r="F209" s="15" t="s">
        <v>567</v>
      </c>
      <c r="G209" s="16">
        <v>1</v>
      </c>
      <c r="H209" s="16">
        <v>6</v>
      </c>
      <c r="I209" s="16">
        <v>3</v>
      </c>
      <c r="J209" s="16">
        <v>7</v>
      </c>
      <c r="K209" s="16">
        <v>6</v>
      </c>
      <c r="L209" s="16">
        <v>6</v>
      </c>
      <c r="M209" s="16">
        <v>3</v>
      </c>
      <c r="N209" s="16"/>
      <c r="O209" s="16"/>
      <c r="P209" s="16"/>
      <c r="Q209" s="16"/>
      <c r="R209" s="15" t="s">
        <v>568</v>
      </c>
      <c r="S209" s="15" t="s">
        <v>451</v>
      </c>
      <c r="T209" s="15" t="s">
        <v>449</v>
      </c>
      <c r="U209" s="16">
        <v>2</v>
      </c>
      <c r="V209" s="15">
        <f>H209+J209+L209+N209+P209</f>
        <v>19</v>
      </c>
      <c r="W209" s="15">
        <f>H209+I209+J209+K209+L209+M209+N209+O209+P209+Q209</f>
        <v>31</v>
      </c>
      <c r="X209" s="26">
        <f>V209/W209</f>
        <v>0.61290322580645162</v>
      </c>
      <c r="Y209" s="26">
        <f>H209/(H209+I209)</f>
        <v>0.66666666666666663</v>
      </c>
      <c r="Z209" s="26">
        <f>J209/(J209+K209)</f>
        <v>0.53846153846153844</v>
      </c>
      <c r="AA209" s="26" t="e">
        <f>L210/(L210+M210)</f>
        <v>#DIV/0!</v>
      </c>
      <c r="AB209" s="26" t="e">
        <f>N209/(N209+O209)</f>
        <v>#DIV/0!</v>
      </c>
      <c r="AC209" s="26" t="e">
        <f>P209/(P209+Q209)</f>
        <v>#DIV/0!</v>
      </c>
      <c r="AD209" s="26">
        <f>V209/W209</f>
        <v>0.61290322580645162</v>
      </c>
    </row>
    <row r="210" spans="1:30" x14ac:dyDescent="0.2">
      <c r="A210" s="9" t="s">
        <v>440</v>
      </c>
      <c r="B210" s="10" t="s">
        <v>438</v>
      </c>
      <c r="C210" s="11" t="s">
        <v>378</v>
      </c>
      <c r="D210" s="11" t="s">
        <v>464</v>
      </c>
      <c r="E210" s="11" t="s">
        <v>460</v>
      </c>
      <c r="F210" s="11" t="s">
        <v>316</v>
      </c>
      <c r="G210" s="13">
        <v>2</v>
      </c>
      <c r="H210" s="16">
        <v>7</v>
      </c>
      <c r="I210" s="16">
        <v>5</v>
      </c>
      <c r="J210" s="16">
        <v>6</v>
      </c>
      <c r="K210" s="16">
        <v>2</v>
      </c>
      <c r="L210" s="16"/>
      <c r="M210" s="16"/>
      <c r="N210" s="16"/>
      <c r="O210" s="16"/>
      <c r="P210" s="16"/>
      <c r="Q210" s="16"/>
      <c r="R210" s="11" t="s">
        <v>379</v>
      </c>
      <c r="S210" s="11" t="s">
        <v>464</v>
      </c>
      <c r="T210" s="11" t="s">
        <v>460</v>
      </c>
      <c r="U210" s="13">
        <v>1</v>
      </c>
      <c r="V210" s="15">
        <f>H210+J210+L210+N210+P210</f>
        <v>13</v>
      </c>
      <c r="W210" s="15">
        <f>H210+I210+J210+K210+L210+M210+N210+O210+P210+Q210</f>
        <v>20</v>
      </c>
      <c r="X210" s="26">
        <f>V210/W210</f>
        <v>0.65</v>
      </c>
      <c r="Y210" s="26">
        <f>H210/(H210+I210)</f>
        <v>0.58333333333333337</v>
      </c>
      <c r="Z210" s="26">
        <f>J210/(J210+K210)</f>
        <v>0.75</v>
      </c>
      <c r="AA210" s="26">
        <f>L211/(L211+M211)</f>
        <v>0.66666666666666663</v>
      </c>
      <c r="AB210" s="26" t="e">
        <f>N210/(N210+O210)</f>
        <v>#DIV/0!</v>
      </c>
      <c r="AC210" s="26" t="e">
        <f>P210/(P210+Q210)</f>
        <v>#DIV/0!</v>
      </c>
      <c r="AD210" s="26">
        <f>V210/W210</f>
        <v>0.65</v>
      </c>
    </row>
    <row r="211" spans="1:30" x14ac:dyDescent="0.2">
      <c r="A211" s="14" t="s">
        <v>440</v>
      </c>
      <c r="B211" s="10" t="s">
        <v>305</v>
      </c>
      <c r="C211" s="10" t="s">
        <v>196</v>
      </c>
      <c r="D211" s="10" t="s">
        <v>467</v>
      </c>
      <c r="E211" s="18" t="s">
        <v>442</v>
      </c>
      <c r="F211" s="10" t="s">
        <v>198</v>
      </c>
      <c r="G211" s="16">
        <v>2</v>
      </c>
      <c r="H211" s="16">
        <v>6</v>
      </c>
      <c r="I211" s="16">
        <v>3</v>
      </c>
      <c r="J211" s="16">
        <v>6</v>
      </c>
      <c r="K211" s="16">
        <v>3</v>
      </c>
      <c r="L211" s="16">
        <v>6</v>
      </c>
      <c r="M211" s="16">
        <v>3</v>
      </c>
      <c r="N211" s="16"/>
      <c r="O211" s="16"/>
      <c r="P211" s="16"/>
      <c r="Q211" s="16"/>
      <c r="R211" s="10" t="s">
        <v>197</v>
      </c>
      <c r="S211" s="10" t="s">
        <v>479</v>
      </c>
      <c r="T211" s="10" t="s">
        <v>461</v>
      </c>
      <c r="U211" s="16">
        <v>1</v>
      </c>
      <c r="V211" s="15">
        <f>H211+J211+L211+N211+P211</f>
        <v>18</v>
      </c>
      <c r="W211" s="15">
        <f>H211+I211+J211+K211+L211+M211+N211+O211+P211+Q211</f>
        <v>27</v>
      </c>
      <c r="X211" s="26">
        <f>V211/W211</f>
        <v>0.66666666666666663</v>
      </c>
      <c r="Y211" s="26">
        <f>H211/(H211+I211)</f>
        <v>0.66666666666666663</v>
      </c>
      <c r="Z211" s="26">
        <f>J211/(J211+K211)</f>
        <v>0.66666666666666663</v>
      </c>
      <c r="AA211" s="26" t="e">
        <f>L212/(L212+M212)</f>
        <v>#DIV/0!</v>
      </c>
      <c r="AB211" s="26" t="e">
        <f>N211/(N211+O211)</f>
        <v>#DIV/0!</v>
      </c>
      <c r="AC211" s="26" t="e">
        <f>P211/(P211+Q211)</f>
        <v>#DIV/0!</v>
      </c>
      <c r="AD211" s="26">
        <f>V211/W211</f>
        <v>0.66666666666666663</v>
      </c>
    </row>
    <row r="212" spans="1:30" x14ac:dyDescent="0.2">
      <c r="A212" s="14" t="s">
        <v>439</v>
      </c>
      <c r="B212" s="10" t="s">
        <v>438</v>
      </c>
      <c r="C212" s="10" t="s">
        <v>373</v>
      </c>
      <c r="D212" s="10" t="s">
        <v>464</v>
      </c>
      <c r="E212" s="10" t="s">
        <v>460</v>
      </c>
      <c r="F212" s="10" t="s">
        <v>381</v>
      </c>
      <c r="G212" s="16">
        <v>1</v>
      </c>
      <c r="H212" s="13">
        <v>6</v>
      </c>
      <c r="I212" s="13">
        <v>3</v>
      </c>
      <c r="J212" s="13">
        <v>6</v>
      </c>
      <c r="K212" s="13">
        <v>0</v>
      </c>
      <c r="L212" s="13"/>
      <c r="M212" s="13"/>
      <c r="N212" s="13"/>
      <c r="O212" s="13"/>
      <c r="P212" s="13"/>
      <c r="Q212" s="13"/>
      <c r="R212" s="10" t="s">
        <v>380</v>
      </c>
      <c r="S212" s="10" t="s">
        <v>464</v>
      </c>
      <c r="T212" s="10" t="s">
        <v>460</v>
      </c>
      <c r="U212" s="16">
        <v>5</v>
      </c>
      <c r="V212" s="15">
        <f>H212+J212+L212+N212+P212</f>
        <v>12</v>
      </c>
      <c r="W212" s="15">
        <f>H212+I212+J212+K212+L212+M212+N212+O212+P212+Q212</f>
        <v>15</v>
      </c>
      <c r="X212" s="26">
        <f>V212/W212</f>
        <v>0.8</v>
      </c>
      <c r="Y212" s="26">
        <f>H212/(H212+I212)</f>
        <v>0.66666666666666663</v>
      </c>
      <c r="Z212" s="26">
        <f>J212/(J212+K212)</f>
        <v>1</v>
      </c>
      <c r="AA212" s="26">
        <f>L213/(L213+M213)</f>
        <v>0.41666666666666669</v>
      </c>
      <c r="AB212" s="26" t="e">
        <f>N212/(N212+O212)</f>
        <v>#DIV/0!</v>
      </c>
      <c r="AC212" s="26" t="e">
        <f>P212/(P212+Q212)</f>
        <v>#DIV/0!</v>
      </c>
      <c r="AD212" s="26">
        <f>V212/W212</f>
        <v>0.8</v>
      </c>
    </row>
    <row r="213" spans="1:30" x14ac:dyDescent="0.2">
      <c r="A213" s="9" t="s">
        <v>439</v>
      </c>
      <c r="B213" s="10" t="s">
        <v>305</v>
      </c>
      <c r="C213" s="11" t="s">
        <v>199</v>
      </c>
      <c r="D213" s="11" t="s">
        <v>467</v>
      </c>
      <c r="E213" s="11" t="s">
        <v>442</v>
      </c>
      <c r="F213" s="11" t="s">
        <v>509</v>
      </c>
      <c r="G213" s="13">
        <v>1</v>
      </c>
      <c r="H213" s="13">
        <v>6</v>
      </c>
      <c r="I213" s="13">
        <v>3</v>
      </c>
      <c r="J213" s="13">
        <v>7</v>
      </c>
      <c r="K213" s="13">
        <v>6</v>
      </c>
      <c r="L213" s="13">
        <v>5</v>
      </c>
      <c r="M213" s="13">
        <v>7</v>
      </c>
      <c r="N213" s="13">
        <v>3</v>
      </c>
      <c r="O213" s="13">
        <v>6</v>
      </c>
      <c r="P213" s="13">
        <v>6</v>
      </c>
      <c r="Q213" s="13">
        <v>2</v>
      </c>
      <c r="R213" s="11" t="s">
        <v>200</v>
      </c>
      <c r="S213" s="11" t="s">
        <v>457</v>
      </c>
      <c r="T213" s="11" t="s">
        <v>450</v>
      </c>
      <c r="U213" s="13" t="s">
        <v>563</v>
      </c>
      <c r="V213" s="15">
        <f>H213+J213+L213+N213+P213</f>
        <v>27</v>
      </c>
      <c r="W213" s="15">
        <f>H213+I213+J213+K213+L213+M213+N213+O213+P213+Q213</f>
        <v>51</v>
      </c>
      <c r="X213" s="26">
        <f>V213/W213</f>
        <v>0.52941176470588236</v>
      </c>
      <c r="Y213" s="26">
        <f>H213/(H213+I213)</f>
        <v>0.66666666666666663</v>
      </c>
      <c r="Z213" s="26">
        <f>J213/(J213+K213)</f>
        <v>0.53846153846153844</v>
      </c>
      <c r="AA213" s="26" t="e">
        <f>L214/(L214+M214)</f>
        <v>#DIV/0!</v>
      </c>
      <c r="AB213" s="26">
        <f>N213/(N213+O213)</f>
        <v>0.33333333333333331</v>
      </c>
      <c r="AC213" s="26">
        <f>P213/(P213+Q213)</f>
        <v>0.75</v>
      </c>
      <c r="AD213" s="26">
        <f>V213/W213</f>
        <v>0.52941176470588236</v>
      </c>
    </row>
  </sheetData>
  <autoFilter ref="V1:V213" xr:uid="{00000000-0001-0000-0000-000000000000}"/>
  <sortState xmlns:xlrd2="http://schemas.microsoft.com/office/spreadsheetml/2017/richdata2" ref="A2:AE215">
    <sortCondition ref="A1:A21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EADD-A944-E14C-803F-FEBA3B02231F}">
  <dimension ref="A1:N213"/>
  <sheetViews>
    <sheetView workbookViewId="0">
      <selection activeCell="F8" sqref="F8"/>
    </sheetView>
  </sheetViews>
  <sheetFormatPr baseColWidth="10" defaultRowHeight="15" x14ac:dyDescent="0.2"/>
  <cols>
    <col min="1" max="1" width="17.6640625" bestFit="1" customWidth="1"/>
    <col min="3" max="3" width="17.6640625" bestFit="1" customWidth="1"/>
    <col min="4" max="4" width="63.83203125" customWidth="1"/>
    <col min="12" max="12" width="23.5" customWidth="1"/>
    <col min="13" max="13" width="34.6640625" customWidth="1"/>
    <col min="14" max="14" width="61" customWidth="1"/>
  </cols>
  <sheetData>
    <row r="1" spans="1:14" x14ac:dyDescent="0.2">
      <c r="A1" s="6" t="s">
        <v>4</v>
      </c>
      <c r="B1" s="23" t="s">
        <v>579</v>
      </c>
      <c r="C1" s="6" t="s">
        <v>4</v>
      </c>
      <c r="L1" s="6" t="s">
        <v>8</v>
      </c>
      <c r="M1" s="23" t="s">
        <v>579</v>
      </c>
      <c r="N1" s="6" t="s">
        <v>8</v>
      </c>
    </row>
    <row r="2" spans="1:14" x14ac:dyDescent="0.2">
      <c r="A2" s="10" t="s">
        <v>460</v>
      </c>
      <c r="B2">
        <f t="shared" ref="B2:B22" si="0">COUNTIF($C$2:$C$213,A2)</f>
        <v>94</v>
      </c>
      <c r="C2" s="10" t="s">
        <v>460</v>
      </c>
      <c r="L2" s="10" t="s">
        <v>460</v>
      </c>
      <c r="M2">
        <f t="shared" ref="M2:M22" si="1">COUNTIF($N$2:$N$213,L2)</f>
        <v>98</v>
      </c>
      <c r="N2" s="10" t="s">
        <v>442</v>
      </c>
    </row>
    <row r="3" spans="1:14" x14ac:dyDescent="0.2">
      <c r="A3" s="10" t="s">
        <v>442</v>
      </c>
      <c r="B3">
        <f t="shared" si="0"/>
        <v>44</v>
      </c>
      <c r="C3" s="11" t="s">
        <v>452</v>
      </c>
      <c r="L3" s="10" t="s">
        <v>442</v>
      </c>
      <c r="M3">
        <f t="shared" si="1"/>
        <v>33</v>
      </c>
      <c r="N3" s="11" t="s">
        <v>459</v>
      </c>
    </row>
    <row r="4" spans="1:14" x14ac:dyDescent="0.2">
      <c r="A4" s="10" t="s">
        <v>462</v>
      </c>
      <c r="B4">
        <f t="shared" si="0"/>
        <v>10</v>
      </c>
      <c r="C4" s="11" t="s">
        <v>458</v>
      </c>
      <c r="L4" s="10" t="s">
        <v>453</v>
      </c>
      <c r="M4">
        <f t="shared" si="1"/>
        <v>11</v>
      </c>
      <c r="N4" s="10" t="s">
        <v>460</v>
      </c>
    </row>
    <row r="5" spans="1:14" x14ac:dyDescent="0.2">
      <c r="A5" s="10" t="s">
        <v>444</v>
      </c>
      <c r="B5">
        <f t="shared" si="0"/>
        <v>10</v>
      </c>
      <c r="C5" s="10" t="s">
        <v>448</v>
      </c>
      <c r="L5" s="10" t="s">
        <v>445</v>
      </c>
      <c r="M5">
        <f t="shared" si="1"/>
        <v>10</v>
      </c>
      <c r="N5" s="10" t="s">
        <v>460</v>
      </c>
    </row>
    <row r="6" spans="1:14" x14ac:dyDescent="0.2">
      <c r="A6" s="10" t="s">
        <v>450</v>
      </c>
      <c r="B6">
        <f t="shared" si="0"/>
        <v>8</v>
      </c>
      <c r="C6" s="18" t="s">
        <v>442</v>
      </c>
      <c r="L6" s="10" t="s">
        <v>450</v>
      </c>
      <c r="M6">
        <f t="shared" si="1"/>
        <v>9</v>
      </c>
      <c r="N6" s="11" t="s">
        <v>445</v>
      </c>
    </row>
    <row r="7" spans="1:14" x14ac:dyDescent="0.2">
      <c r="A7" s="10" t="s">
        <v>449</v>
      </c>
      <c r="B7">
        <f t="shared" si="0"/>
        <v>7</v>
      </c>
      <c r="C7" s="19" t="s">
        <v>458</v>
      </c>
      <c r="L7" s="10" t="s">
        <v>455</v>
      </c>
      <c r="M7">
        <f t="shared" si="1"/>
        <v>9</v>
      </c>
      <c r="N7" s="10" t="s">
        <v>460</v>
      </c>
    </row>
    <row r="8" spans="1:14" ht="48" x14ac:dyDescent="0.2">
      <c r="A8" s="10" t="s">
        <v>443</v>
      </c>
      <c r="B8">
        <f t="shared" si="0"/>
        <v>6</v>
      </c>
      <c r="C8" s="18" t="s">
        <v>442</v>
      </c>
      <c r="D8" s="24" t="s">
        <v>581</v>
      </c>
      <c r="L8" s="10" t="s">
        <v>443</v>
      </c>
      <c r="M8">
        <f t="shared" si="1"/>
        <v>5</v>
      </c>
      <c r="N8" s="10" t="s">
        <v>445</v>
      </c>
    </row>
    <row r="9" spans="1:14" x14ac:dyDescent="0.2">
      <c r="A9" s="10" t="s">
        <v>455</v>
      </c>
      <c r="B9">
        <f t="shared" si="0"/>
        <v>5</v>
      </c>
      <c r="C9" s="18" t="s">
        <v>442</v>
      </c>
      <c r="L9" s="10" t="s">
        <v>462</v>
      </c>
      <c r="M9">
        <f t="shared" si="1"/>
        <v>4</v>
      </c>
      <c r="N9" s="11" t="s">
        <v>453</v>
      </c>
    </row>
    <row r="10" spans="1:14" x14ac:dyDescent="0.2">
      <c r="A10" s="10" t="s">
        <v>458</v>
      </c>
      <c r="B10">
        <f t="shared" si="0"/>
        <v>4</v>
      </c>
      <c r="C10" s="18" t="s">
        <v>442</v>
      </c>
      <c r="L10" s="10" t="s">
        <v>449</v>
      </c>
      <c r="M10">
        <f t="shared" si="1"/>
        <v>4</v>
      </c>
      <c r="N10" s="10" t="s">
        <v>445</v>
      </c>
    </row>
    <row r="11" spans="1:14" x14ac:dyDescent="0.2">
      <c r="A11" s="10" t="s">
        <v>452</v>
      </c>
      <c r="B11">
        <f t="shared" si="0"/>
        <v>3</v>
      </c>
      <c r="C11" s="10" t="s">
        <v>462</v>
      </c>
      <c r="L11" s="10" t="s">
        <v>452</v>
      </c>
      <c r="M11">
        <f t="shared" si="1"/>
        <v>4</v>
      </c>
      <c r="N11" s="11" t="s">
        <v>460</v>
      </c>
    </row>
    <row r="12" spans="1:14" x14ac:dyDescent="0.2">
      <c r="A12" s="10" t="s">
        <v>441</v>
      </c>
      <c r="B12">
        <f t="shared" si="0"/>
        <v>3</v>
      </c>
      <c r="C12" s="11" t="s">
        <v>462</v>
      </c>
      <c r="L12" s="10" t="s">
        <v>447</v>
      </c>
      <c r="M12">
        <f t="shared" si="1"/>
        <v>4</v>
      </c>
      <c r="N12" s="10" t="s">
        <v>455</v>
      </c>
    </row>
    <row r="13" spans="1:14" x14ac:dyDescent="0.2">
      <c r="A13" s="10" t="s">
        <v>445</v>
      </c>
      <c r="B13">
        <f t="shared" si="0"/>
        <v>3</v>
      </c>
      <c r="C13" s="10" t="s">
        <v>462</v>
      </c>
      <c r="L13" s="10" t="s">
        <v>459</v>
      </c>
      <c r="M13">
        <f t="shared" si="1"/>
        <v>3</v>
      </c>
      <c r="N13" s="10" t="s">
        <v>452</v>
      </c>
    </row>
    <row r="14" spans="1:14" x14ac:dyDescent="0.2">
      <c r="A14" s="10" t="s">
        <v>448</v>
      </c>
      <c r="B14">
        <f t="shared" si="0"/>
        <v>2</v>
      </c>
      <c r="C14" s="11" t="s">
        <v>442</v>
      </c>
      <c r="L14" s="10" t="s">
        <v>456</v>
      </c>
      <c r="M14">
        <f t="shared" si="1"/>
        <v>3</v>
      </c>
      <c r="N14" s="10" t="s">
        <v>460</v>
      </c>
    </row>
    <row r="15" spans="1:14" x14ac:dyDescent="0.2">
      <c r="A15" s="10" t="s">
        <v>459</v>
      </c>
      <c r="B15">
        <f t="shared" si="0"/>
        <v>2</v>
      </c>
      <c r="C15" s="10" t="s">
        <v>452</v>
      </c>
      <c r="L15" s="10" t="s">
        <v>446</v>
      </c>
      <c r="M15">
        <f t="shared" si="1"/>
        <v>2</v>
      </c>
      <c r="N15" s="10" t="s">
        <v>455</v>
      </c>
    </row>
    <row r="16" spans="1:14" x14ac:dyDescent="0.2">
      <c r="A16" s="10" t="s">
        <v>447</v>
      </c>
      <c r="B16">
        <f t="shared" si="0"/>
        <v>2</v>
      </c>
      <c r="C16" s="11" t="s">
        <v>449</v>
      </c>
      <c r="L16" s="10" t="s">
        <v>444</v>
      </c>
      <c r="M16">
        <f t="shared" si="1"/>
        <v>1</v>
      </c>
      <c r="N16" s="10" t="s">
        <v>460</v>
      </c>
    </row>
    <row r="17" spans="1:14" x14ac:dyDescent="0.2">
      <c r="A17" s="15" t="s">
        <v>558</v>
      </c>
      <c r="B17">
        <f t="shared" si="0"/>
        <v>2</v>
      </c>
      <c r="C17" s="17" t="s">
        <v>441</v>
      </c>
      <c r="L17" s="10" t="s">
        <v>458</v>
      </c>
      <c r="M17">
        <f t="shared" si="1"/>
        <v>1</v>
      </c>
      <c r="N17" s="10" t="s">
        <v>460</v>
      </c>
    </row>
    <row r="18" spans="1:14" x14ac:dyDescent="0.2">
      <c r="A18" s="10" t="s">
        <v>461</v>
      </c>
      <c r="B18">
        <f t="shared" si="0"/>
        <v>2</v>
      </c>
      <c r="C18" s="11" t="s">
        <v>449</v>
      </c>
      <c r="L18" s="10" t="s">
        <v>461</v>
      </c>
      <c r="M18">
        <f t="shared" si="1"/>
        <v>1</v>
      </c>
      <c r="N18" s="11" t="s">
        <v>460</v>
      </c>
    </row>
    <row r="19" spans="1:14" x14ac:dyDescent="0.2">
      <c r="A19" s="10" t="s">
        <v>453</v>
      </c>
      <c r="B19">
        <f t="shared" si="0"/>
        <v>2</v>
      </c>
      <c r="C19" s="10" t="s">
        <v>449</v>
      </c>
      <c r="L19" s="10" t="s">
        <v>441</v>
      </c>
      <c r="M19">
        <f t="shared" si="1"/>
        <v>0</v>
      </c>
      <c r="N19" s="10" t="s">
        <v>449</v>
      </c>
    </row>
    <row r="20" spans="1:14" x14ac:dyDescent="0.2">
      <c r="A20" s="10" t="s">
        <v>456</v>
      </c>
      <c r="B20">
        <f t="shared" si="0"/>
        <v>1</v>
      </c>
      <c r="C20" s="18" t="s">
        <v>442</v>
      </c>
      <c r="L20" s="10" t="s">
        <v>448</v>
      </c>
      <c r="M20">
        <f t="shared" si="1"/>
        <v>0</v>
      </c>
      <c r="N20" s="11" t="s">
        <v>460</v>
      </c>
    </row>
    <row r="21" spans="1:14" x14ac:dyDescent="0.2">
      <c r="A21" s="10" t="s">
        <v>454</v>
      </c>
      <c r="B21">
        <f t="shared" si="0"/>
        <v>1</v>
      </c>
      <c r="C21" s="10" t="s">
        <v>460</v>
      </c>
      <c r="L21" s="15" t="s">
        <v>558</v>
      </c>
      <c r="M21">
        <f t="shared" si="1"/>
        <v>0</v>
      </c>
      <c r="N21" s="10" t="s">
        <v>460</v>
      </c>
    </row>
    <row r="22" spans="1:14" x14ac:dyDescent="0.2">
      <c r="A22" s="10" t="s">
        <v>446</v>
      </c>
      <c r="B22">
        <f t="shared" si="0"/>
        <v>1</v>
      </c>
      <c r="C22" s="10" t="s">
        <v>460</v>
      </c>
      <c r="L22" s="10" t="s">
        <v>454</v>
      </c>
      <c r="M22">
        <f t="shared" si="1"/>
        <v>0</v>
      </c>
      <c r="N22" s="11" t="s">
        <v>492</v>
      </c>
    </row>
    <row r="23" spans="1:14" x14ac:dyDescent="0.2">
      <c r="C23" s="11" t="s">
        <v>460</v>
      </c>
      <c r="N23" s="10" t="s">
        <v>460</v>
      </c>
    </row>
    <row r="24" spans="1:14" x14ac:dyDescent="0.2">
      <c r="C24" s="10" t="s">
        <v>450</v>
      </c>
      <c r="N24" s="10" t="s">
        <v>460</v>
      </c>
    </row>
    <row r="25" spans="1:14" x14ac:dyDescent="0.2">
      <c r="C25" s="10" t="s">
        <v>460</v>
      </c>
      <c r="N25" s="11" t="s">
        <v>460</v>
      </c>
    </row>
    <row r="26" spans="1:14" x14ac:dyDescent="0.2">
      <c r="C26" s="11" t="s">
        <v>460</v>
      </c>
      <c r="N26" s="10" t="s">
        <v>460</v>
      </c>
    </row>
    <row r="27" spans="1:14" x14ac:dyDescent="0.2">
      <c r="C27" s="18" t="s">
        <v>442</v>
      </c>
      <c r="N27" s="10" t="s">
        <v>460</v>
      </c>
    </row>
    <row r="28" spans="1:14" x14ac:dyDescent="0.2">
      <c r="C28" s="11" t="s">
        <v>442</v>
      </c>
      <c r="N28" s="10" t="s">
        <v>460</v>
      </c>
    </row>
    <row r="29" spans="1:14" x14ac:dyDescent="0.2">
      <c r="C29" s="10" t="s">
        <v>460</v>
      </c>
      <c r="N29" s="10" t="s">
        <v>460</v>
      </c>
    </row>
    <row r="30" spans="1:14" x14ac:dyDescent="0.2">
      <c r="C30" s="11" t="s">
        <v>460</v>
      </c>
      <c r="N30" s="10" t="s">
        <v>460</v>
      </c>
    </row>
    <row r="31" spans="1:14" x14ac:dyDescent="0.2">
      <c r="C31" s="10" t="s">
        <v>460</v>
      </c>
      <c r="N31" s="11" t="s">
        <v>460</v>
      </c>
    </row>
    <row r="32" spans="1:14" x14ac:dyDescent="0.2">
      <c r="C32" s="11" t="s">
        <v>460</v>
      </c>
      <c r="N32" s="11" t="s">
        <v>456</v>
      </c>
    </row>
    <row r="33" spans="3:14" x14ac:dyDescent="0.2">
      <c r="C33" s="11" t="s">
        <v>460</v>
      </c>
      <c r="N33" s="10" t="s">
        <v>452</v>
      </c>
    </row>
    <row r="34" spans="3:14" x14ac:dyDescent="0.2">
      <c r="C34" s="10" t="s">
        <v>450</v>
      </c>
      <c r="N34" s="11" t="s">
        <v>449</v>
      </c>
    </row>
    <row r="35" spans="3:14" x14ac:dyDescent="0.2">
      <c r="C35" s="11" t="s">
        <v>442</v>
      </c>
      <c r="N35" s="10" t="s">
        <v>453</v>
      </c>
    </row>
    <row r="36" spans="3:14" x14ac:dyDescent="0.2">
      <c r="C36" s="11" t="s">
        <v>460</v>
      </c>
      <c r="N36" s="11" t="s">
        <v>442</v>
      </c>
    </row>
    <row r="37" spans="3:14" x14ac:dyDescent="0.2">
      <c r="C37" s="10" t="s">
        <v>460</v>
      </c>
      <c r="N37" s="11" t="s">
        <v>455</v>
      </c>
    </row>
    <row r="38" spans="3:14" x14ac:dyDescent="0.2">
      <c r="C38" s="11" t="s">
        <v>442</v>
      </c>
      <c r="N38" s="11" t="s">
        <v>442</v>
      </c>
    </row>
    <row r="39" spans="3:14" x14ac:dyDescent="0.2">
      <c r="C39" s="10" t="s">
        <v>460</v>
      </c>
      <c r="N39" s="11" t="s">
        <v>460</v>
      </c>
    </row>
    <row r="40" spans="3:14" x14ac:dyDescent="0.2">
      <c r="C40" s="11" t="s">
        <v>442</v>
      </c>
      <c r="N40" s="10" t="s">
        <v>460</v>
      </c>
    </row>
    <row r="41" spans="3:14" x14ac:dyDescent="0.2">
      <c r="C41" s="10" t="s">
        <v>460</v>
      </c>
      <c r="N41" s="11" t="s">
        <v>460</v>
      </c>
    </row>
    <row r="42" spans="3:14" x14ac:dyDescent="0.2">
      <c r="C42" s="11" t="s">
        <v>460</v>
      </c>
      <c r="N42" s="11" t="s">
        <v>446</v>
      </c>
    </row>
    <row r="43" spans="3:14" x14ac:dyDescent="0.2">
      <c r="C43" s="10" t="s">
        <v>460</v>
      </c>
      <c r="N43" s="11" t="s">
        <v>442</v>
      </c>
    </row>
    <row r="44" spans="3:14" x14ac:dyDescent="0.2">
      <c r="C44" s="11" t="s">
        <v>460</v>
      </c>
      <c r="N44" s="10" t="s">
        <v>460</v>
      </c>
    </row>
    <row r="45" spans="3:14" x14ac:dyDescent="0.2">
      <c r="C45" s="18" t="s">
        <v>442</v>
      </c>
      <c r="N45" s="11" t="s">
        <v>460</v>
      </c>
    </row>
    <row r="46" spans="3:14" x14ac:dyDescent="0.2">
      <c r="C46" s="10" t="s">
        <v>460</v>
      </c>
      <c r="N46" s="10" t="s">
        <v>460</v>
      </c>
    </row>
    <row r="47" spans="3:14" x14ac:dyDescent="0.2">
      <c r="C47" s="10" t="s">
        <v>460</v>
      </c>
      <c r="N47" s="10" t="s">
        <v>460</v>
      </c>
    </row>
    <row r="48" spans="3:14" x14ac:dyDescent="0.2">
      <c r="C48" s="11" t="s">
        <v>460</v>
      </c>
      <c r="N48" s="10" t="s">
        <v>460</v>
      </c>
    </row>
    <row r="49" spans="3:14" x14ac:dyDescent="0.2">
      <c r="C49" s="10" t="s">
        <v>460</v>
      </c>
      <c r="N49" s="10" t="s">
        <v>453</v>
      </c>
    </row>
    <row r="50" spans="3:14" x14ac:dyDescent="0.2">
      <c r="C50" s="11" t="s">
        <v>460</v>
      </c>
      <c r="N50" s="10" t="s">
        <v>452</v>
      </c>
    </row>
    <row r="51" spans="3:14" x14ac:dyDescent="0.2">
      <c r="C51" s="18" t="s">
        <v>442</v>
      </c>
      <c r="N51" s="10" t="s">
        <v>453</v>
      </c>
    </row>
    <row r="52" spans="3:14" x14ac:dyDescent="0.2">
      <c r="C52" s="11" t="s">
        <v>456</v>
      </c>
      <c r="N52" s="10" t="s">
        <v>442</v>
      </c>
    </row>
    <row r="53" spans="3:14" x14ac:dyDescent="0.2">
      <c r="C53" s="11" t="s">
        <v>445</v>
      </c>
      <c r="N53" s="11" t="s">
        <v>460</v>
      </c>
    </row>
    <row r="54" spans="3:14" x14ac:dyDescent="0.2">
      <c r="C54" s="11" t="s">
        <v>442</v>
      </c>
      <c r="N54" s="11" t="s">
        <v>447</v>
      </c>
    </row>
    <row r="55" spans="3:14" x14ac:dyDescent="0.2">
      <c r="C55" s="11" t="s">
        <v>449</v>
      </c>
      <c r="N55" s="11" t="s">
        <v>488</v>
      </c>
    </row>
    <row r="56" spans="3:14" x14ac:dyDescent="0.2">
      <c r="C56" s="18" t="s">
        <v>442</v>
      </c>
      <c r="N56" s="11" t="s">
        <v>462</v>
      </c>
    </row>
    <row r="57" spans="3:14" x14ac:dyDescent="0.2">
      <c r="C57" s="11" t="s">
        <v>455</v>
      </c>
      <c r="N57" s="11" t="s">
        <v>460</v>
      </c>
    </row>
    <row r="58" spans="3:14" x14ac:dyDescent="0.2">
      <c r="C58" s="11" t="s">
        <v>460</v>
      </c>
      <c r="N58" s="11" t="s">
        <v>460</v>
      </c>
    </row>
    <row r="59" spans="3:14" x14ac:dyDescent="0.2">
      <c r="C59" s="11" t="s">
        <v>460</v>
      </c>
      <c r="N59" s="10" t="s">
        <v>445</v>
      </c>
    </row>
    <row r="60" spans="3:14" x14ac:dyDescent="0.2">
      <c r="C60" s="11" t="s">
        <v>460</v>
      </c>
      <c r="N60" s="10" t="s">
        <v>442</v>
      </c>
    </row>
    <row r="61" spans="3:14" x14ac:dyDescent="0.2">
      <c r="C61" s="10" t="s">
        <v>460</v>
      </c>
      <c r="N61" s="10" t="s">
        <v>460</v>
      </c>
    </row>
    <row r="62" spans="3:14" x14ac:dyDescent="0.2">
      <c r="C62" s="11" t="s">
        <v>460</v>
      </c>
      <c r="N62" s="11" t="s">
        <v>453</v>
      </c>
    </row>
    <row r="63" spans="3:14" x14ac:dyDescent="0.2">
      <c r="C63" s="11" t="s">
        <v>450</v>
      </c>
      <c r="N63" s="10" t="s">
        <v>442</v>
      </c>
    </row>
    <row r="64" spans="3:14" x14ac:dyDescent="0.2">
      <c r="C64" s="11" t="s">
        <v>460</v>
      </c>
      <c r="N64" s="10" t="s">
        <v>450</v>
      </c>
    </row>
    <row r="65" spans="3:14" x14ac:dyDescent="0.2">
      <c r="C65" s="10" t="s">
        <v>460</v>
      </c>
      <c r="N65" s="11" t="s">
        <v>455</v>
      </c>
    </row>
    <row r="66" spans="3:14" x14ac:dyDescent="0.2">
      <c r="C66" s="11" t="s">
        <v>460</v>
      </c>
      <c r="N66" s="10" t="s">
        <v>461</v>
      </c>
    </row>
    <row r="67" spans="3:14" x14ac:dyDescent="0.2">
      <c r="C67" s="18" t="s">
        <v>442</v>
      </c>
      <c r="N67" s="10" t="s">
        <v>442</v>
      </c>
    </row>
    <row r="68" spans="3:14" x14ac:dyDescent="0.2">
      <c r="C68" s="18" t="s">
        <v>455</v>
      </c>
      <c r="N68" s="11" t="s">
        <v>460</v>
      </c>
    </row>
    <row r="69" spans="3:14" x14ac:dyDescent="0.2">
      <c r="C69" s="11" t="s">
        <v>442</v>
      </c>
      <c r="N69" s="11" t="s">
        <v>460</v>
      </c>
    </row>
    <row r="70" spans="3:14" x14ac:dyDescent="0.2">
      <c r="C70" s="15" t="s">
        <v>442</v>
      </c>
      <c r="N70" s="11" t="s">
        <v>460</v>
      </c>
    </row>
    <row r="71" spans="3:14" x14ac:dyDescent="0.2">
      <c r="C71" s="11" t="s">
        <v>449</v>
      </c>
      <c r="N71" s="11" t="s">
        <v>442</v>
      </c>
    </row>
    <row r="72" spans="3:14" x14ac:dyDescent="0.2">
      <c r="C72" s="10" t="s">
        <v>459</v>
      </c>
      <c r="N72" s="11" t="s">
        <v>460</v>
      </c>
    </row>
    <row r="73" spans="3:14" x14ac:dyDescent="0.2">
      <c r="C73" s="11" t="s">
        <v>442</v>
      </c>
      <c r="N73" s="10" t="s">
        <v>460</v>
      </c>
    </row>
    <row r="74" spans="3:14" x14ac:dyDescent="0.2">
      <c r="C74" s="18" t="s">
        <v>442</v>
      </c>
      <c r="N74" s="10" t="s">
        <v>460</v>
      </c>
    </row>
    <row r="75" spans="3:14" x14ac:dyDescent="0.2">
      <c r="C75" s="10" t="s">
        <v>460</v>
      </c>
      <c r="N75" s="10" t="s">
        <v>460</v>
      </c>
    </row>
    <row r="76" spans="3:14" x14ac:dyDescent="0.2">
      <c r="C76" s="11" t="s">
        <v>460</v>
      </c>
      <c r="N76" s="11" t="s">
        <v>443</v>
      </c>
    </row>
    <row r="77" spans="3:14" x14ac:dyDescent="0.2">
      <c r="C77" s="15" t="s">
        <v>458</v>
      </c>
      <c r="N77" s="10" t="s">
        <v>460</v>
      </c>
    </row>
    <row r="78" spans="3:14" x14ac:dyDescent="0.2">
      <c r="C78" s="11" t="s">
        <v>442</v>
      </c>
      <c r="N78" s="11" t="s">
        <v>442</v>
      </c>
    </row>
    <row r="79" spans="3:14" x14ac:dyDescent="0.2">
      <c r="C79" s="11" t="s">
        <v>454</v>
      </c>
      <c r="N79" s="10" t="s">
        <v>442</v>
      </c>
    </row>
    <row r="80" spans="3:14" x14ac:dyDescent="0.2">
      <c r="C80" s="10" t="s">
        <v>458</v>
      </c>
      <c r="N80" s="10" t="s">
        <v>462</v>
      </c>
    </row>
    <row r="81" spans="3:14" x14ac:dyDescent="0.2">
      <c r="C81" s="11" t="s">
        <v>459</v>
      </c>
      <c r="N81" s="11" t="s">
        <v>442</v>
      </c>
    </row>
    <row r="82" spans="3:14" x14ac:dyDescent="0.2">
      <c r="C82" s="18" t="s">
        <v>442</v>
      </c>
      <c r="N82" s="10" t="s">
        <v>460</v>
      </c>
    </row>
    <row r="83" spans="3:14" x14ac:dyDescent="0.2">
      <c r="C83" s="10" t="s">
        <v>441</v>
      </c>
      <c r="N83" s="11" t="s">
        <v>442</v>
      </c>
    </row>
    <row r="84" spans="3:14" x14ac:dyDescent="0.2">
      <c r="C84" s="11" t="s">
        <v>455</v>
      </c>
      <c r="N84" s="11" t="s">
        <v>460</v>
      </c>
    </row>
    <row r="85" spans="3:14" x14ac:dyDescent="0.2">
      <c r="C85" s="18" t="s">
        <v>442</v>
      </c>
      <c r="N85" s="10" t="s">
        <v>460</v>
      </c>
    </row>
    <row r="86" spans="3:14" x14ac:dyDescent="0.2">
      <c r="C86" s="11" t="s">
        <v>460</v>
      </c>
      <c r="N86" s="11" t="s">
        <v>460</v>
      </c>
    </row>
    <row r="87" spans="3:14" x14ac:dyDescent="0.2">
      <c r="C87" s="11" t="s">
        <v>460</v>
      </c>
      <c r="N87" s="11" t="s">
        <v>460</v>
      </c>
    </row>
    <row r="88" spans="3:14" x14ac:dyDescent="0.2">
      <c r="C88" s="10" t="s">
        <v>460</v>
      </c>
      <c r="N88" s="11" t="s">
        <v>491</v>
      </c>
    </row>
    <row r="89" spans="3:14" x14ac:dyDescent="0.2">
      <c r="C89" s="11" t="s">
        <v>442</v>
      </c>
      <c r="N89" s="11" t="s">
        <v>460</v>
      </c>
    </row>
    <row r="90" spans="3:14" x14ac:dyDescent="0.2">
      <c r="C90" s="10" t="s">
        <v>441</v>
      </c>
      <c r="N90" s="11" t="s">
        <v>460</v>
      </c>
    </row>
    <row r="91" spans="3:14" x14ac:dyDescent="0.2">
      <c r="C91" s="10" t="s">
        <v>460</v>
      </c>
      <c r="N91" s="11" t="s">
        <v>450</v>
      </c>
    </row>
    <row r="92" spans="3:14" x14ac:dyDescent="0.2">
      <c r="C92" s="10" t="s">
        <v>460</v>
      </c>
      <c r="N92" s="10" t="s">
        <v>447</v>
      </c>
    </row>
    <row r="93" spans="3:14" x14ac:dyDescent="0.2">
      <c r="C93" s="11" t="s">
        <v>460</v>
      </c>
      <c r="N93" s="11" t="s">
        <v>455</v>
      </c>
    </row>
    <row r="94" spans="3:14" x14ac:dyDescent="0.2">
      <c r="C94" s="11" t="s">
        <v>460</v>
      </c>
      <c r="N94" s="10" t="s">
        <v>447</v>
      </c>
    </row>
    <row r="95" spans="3:14" x14ac:dyDescent="0.2">
      <c r="C95" s="11" t="s">
        <v>460</v>
      </c>
      <c r="N95" s="11" t="s">
        <v>444</v>
      </c>
    </row>
    <row r="96" spans="3:14" x14ac:dyDescent="0.2">
      <c r="C96" s="10" t="s">
        <v>460</v>
      </c>
      <c r="N96" s="10" t="s">
        <v>442</v>
      </c>
    </row>
    <row r="97" spans="3:14" x14ac:dyDescent="0.2">
      <c r="C97" s="10" t="s">
        <v>448</v>
      </c>
      <c r="N97" s="11" t="s">
        <v>460</v>
      </c>
    </row>
    <row r="98" spans="3:14" x14ac:dyDescent="0.2">
      <c r="C98" s="10" t="s">
        <v>444</v>
      </c>
      <c r="N98" s="11" t="s">
        <v>453</v>
      </c>
    </row>
    <row r="99" spans="3:14" x14ac:dyDescent="0.2">
      <c r="C99" s="10" t="s">
        <v>444</v>
      </c>
      <c r="N99" s="10" t="s">
        <v>442</v>
      </c>
    </row>
    <row r="100" spans="3:14" x14ac:dyDescent="0.2">
      <c r="C100" s="18" t="s">
        <v>442</v>
      </c>
      <c r="N100" s="15" t="s">
        <v>449</v>
      </c>
    </row>
    <row r="101" spans="3:14" x14ac:dyDescent="0.2">
      <c r="C101" s="18" t="s">
        <v>442</v>
      </c>
      <c r="N101" s="11" t="s">
        <v>445</v>
      </c>
    </row>
    <row r="102" spans="3:14" x14ac:dyDescent="0.2">
      <c r="C102" s="11" t="s">
        <v>455</v>
      </c>
      <c r="N102" s="10" t="s">
        <v>453</v>
      </c>
    </row>
    <row r="103" spans="3:14" x14ac:dyDescent="0.2">
      <c r="C103" s="18" t="s">
        <v>442</v>
      </c>
      <c r="N103" s="11" t="s">
        <v>460</v>
      </c>
    </row>
    <row r="104" spans="3:14" x14ac:dyDescent="0.2">
      <c r="C104" s="18" t="s">
        <v>455</v>
      </c>
      <c r="N104" s="11" t="s">
        <v>460</v>
      </c>
    </row>
    <row r="105" spans="3:14" x14ac:dyDescent="0.2">
      <c r="C105" s="11" t="s">
        <v>443</v>
      </c>
      <c r="N105" s="10" t="s">
        <v>450</v>
      </c>
    </row>
    <row r="106" spans="3:14" x14ac:dyDescent="0.2">
      <c r="C106" s="11" t="s">
        <v>442</v>
      </c>
      <c r="N106" s="10" t="s">
        <v>447</v>
      </c>
    </row>
    <row r="107" spans="3:14" x14ac:dyDescent="0.2">
      <c r="C107" s="11" t="s">
        <v>443</v>
      </c>
      <c r="N107" s="10" t="s">
        <v>442</v>
      </c>
    </row>
    <row r="108" spans="3:14" x14ac:dyDescent="0.2">
      <c r="C108" s="18" t="s">
        <v>442</v>
      </c>
      <c r="N108" s="10" t="s">
        <v>455</v>
      </c>
    </row>
    <row r="109" spans="3:14" x14ac:dyDescent="0.2">
      <c r="C109" s="18" t="s">
        <v>442</v>
      </c>
      <c r="N109" s="10" t="s">
        <v>460</v>
      </c>
    </row>
    <row r="110" spans="3:14" x14ac:dyDescent="0.2">
      <c r="C110" s="10" t="s">
        <v>460</v>
      </c>
      <c r="N110" s="10" t="s">
        <v>460</v>
      </c>
    </row>
    <row r="111" spans="3:14" x14ac:dyDescent="0.2">
      <c r="C111" s="11" t="s">
        <v>460</v>
      </c>
      <c r="N111" s="10" t="s">
        <v>460</v>
      </c>
    </row>
    <row r="112" spans="3:14" x14ac:dyDescent="0.2">
      <c r="C112" s="10" t="s">
        <v>460</v>
      </c>
      <c r="N112" s="11" t="s">
        <v>460</v>
      </c>
    </row>
    <row r="113" spans="3:14" x14ac:dyDescent="0.2">
      <c r="C113" s="10" t="s">
        <v>460</v>
      </c>
      <c r="N113" s="10" t="s">
        <v>443</v>
      </c>
    </row>
    <row r="114" spans="3:14" x14ac:dyDescent="0.2">
      <c r="C114" s="11" t="s">
        <v>460</v>
      </c>
      <c r="N114" s="11" t="s">
        <v>460</v>
      </c>
    </row>
    <row r="115" spans="3:14" x14ac:dyDescent="0.2">
      <c r="C115" s="10" t="s">
        <v>460</v>
      </c>
      <c r="N115" s="10" t="s">
        <v>442</v>
      </c>
    </row>
    <row r="116" spans="3:14" x14ac:dyDescent="0.2">
      <c r="C116" s="10" t="s">
        <v>460</v>
      </c>
      <c r="N116" s="10" t="s">
        <v>455</v>
      </c>
    </row>
    <row r="117" spans="3:14" x14ac:dyDescent="0.2">
      <c r="C117" s="10" t="s">
        <v>460</v>
      </c>
      <c r="N117" s="10" t="s">
        <v>460</v>
      </c>
    </row>
    <row r="118" spans="3:14" x14ac:dyDescent="0.2">
      <c r="C118" s="11" t="s">
        <v>460</v>
      </c>
      <c r="N118" s="10" t="s">
        <v>460</v>
      </c>
    </row>
    <row r="119" spans="3:14" x14ac:dyDescent="0.2">
      <c r="C119" s="18" t="s">
        <v>442</v>
      </c>
      <c r="N119" s="10" t="s">
        <v>460</v>
      </c>
    </row>
    <row r="120" spans="3:14" x14ac:dyDescent="0.2">
      <c r="C120" s="10" t="s">
        <v>460</v>
      </c>
      <c r="N120" s="11" t="s">
        <v>453</v>
      </c>
    </row>
    <row r="121" spans="3:14" x14ac:dyDescent="0.2">
      <c r="C121" s="10" t="s">
        <v>460</v>
      </c>
      <c r="N121" s="10" t="s">
        <v>443</v>
      </c>
    </row>
    <row r="122" spans="3:14" x14ac:dyDescent="0.2">
      <c r="C122" s="11" t="s">
        <v>460</v>
      </c>
      <c r="N122" s="11" t="s">
        <v>460</v>
      </c>
    </row>
    <row r="123" spans="3:14" x14ac:dyDescent="0.2">
      <c r="C123" s="11" t="s">
        <v>450</v>
      </c>
      <c r="N123" s="11" t="s">
        <v>460</v>
      </c>
    </row>
    <row r="124" spans="3:14" x14ac:dyDescent="0.2">
      <c r="C124" s="10" t="s">
        <v>460</v>
      </c>
      <c r="N124" s="11" t="s">
        <v>450</v>
      </c>
    </row>
    <row r="125" spans="3:14" x14ac:dyDescent="0.2">
      <c r="C125" s="11" t="s">
        <v>460</v>
      </c>
      <c r="N125" s="10" t="s">
        <v>449</v>
      </c>
    </row>
    <row r="126" spans="3:14" x14ac:dyDescent="0.2">
      <c r="C126" s="10" t="s">
        <v>460</v>
      </c>
      <c r="N126" s="10" t="s">
        <v>460</v>
      </c>
    </row>
    <row r="127" spans="3:14" x14ac:dyDescent="0.2">
      <c r="C127" s="11" t="s">
        <v>447</v>
      </c>
      <c r="N127" s="11" t="s">
        <v>442</v>
      </c>
    </row>
    <row r="128" spans="3:14" x14ac:dyDescent="0.2">
      <c r="C128" s="15" t="s">
        <v>558</v>
      </c>
      <c r="N128" s="10" t="s">
        <v>445</v>
      </c>
    </row>
    <row r="129" spans="3:14" x14ac:dyDescent="0.2">
      <c r="C129" s="10" t="s">
        <v>444</v>
      </c>
      <c r="N129" s="11" t="s">
        <v>442</v>
      </c>
    </row>
    <row r="130" spans="3:14" x14ac:dyDescent="0.2">
      <c r="C130" s="11" t="s">
        <v>462</v>
      </c>
      <c r="N130" s="11" t="s">
        <v>460</v>
      </c>
    </row>
    <row r="131" spans="3:14" x14ac:dyDescent="0.2">
      <c r="C131" s="10" t="s">
        <v>462</v>
      </c>
      <c r="N131" s="11" t="s">
        <v>442</v>
      </c>
    </row>
    <row r="132" spans="3:14" x14ac:dyDescent="0.2">
      <c r="C132" s="10" t="s">
        <v>445</v>
      </c>
      <c r="N132" s="11" t="s">
        <v>460</v>
      </c>
    </row>
    <row r="133" spans="3:14" x14ac:dyDescent="0.2">
      <c r="C133" s="11" t="s">
        <v>462</v>
      </c>
      <c r="N133" s="11" t="s">
        <v>490</v>
      </c>
    </row>
    <row r="134" spans="3:14" x14ac:dyDescent="0.2">
      <c r="C134" s="11" t="s">
        <v>442</v>
      </c>
      <c r="N134" s="10" t="s">
        <v>442</v>
      </c>
    </row>
    <row r="135" spans="3:14" x14ac:dyDescent="0.2">
      <c r="C135" s="10" t="s">
        <v>449</v>
      </c>
      <c r="N135" s="11" t="s">
        <v>442</v>
      </c>
    </row>
    <row r="136" spans="3:14" x14ac:dyDescent="0.2">
      <c r="C136" s="18" t="s">
        <v>442</v>
      </c>
      <c r="N136" s="10" t="s">
        <v>460</v>
      </c>
    </row>
    <row r="137" spans="3:14" x14ac:dyDescent="0.2">
      <c r="C137" s="11" t="s">
        <v>461</v>
      </c>
      <c r="N137" s="11" t="s">
        <v>460</v>
      </c>
    </row>
    <row r="138" spans="3:14" x14ac:dyDescent="0.2">
      <c r="C138" s="10" t="s">
        <v>460</v>
      </c>
      <c r="N138" s="11" t="s">
        <v>445</v>
      </c>
    </row>
    <row r="139" spans="3:14" x14ac:dyDescent="0.2">
      <c r="C139" s="10" t="s">
        <v>460</v>
      </c>
      <c r="N139" s="11" t="s">
        <v>443</v>
      </c>
    </row>
    <row r="140" spans="3:14" x14ac:dyDescent="0.2">
      <c r="C140" s="11" t="s">
        <v>460</v>
      </c>
      <c r="N140" s="10" t="s">
        <v>460</v>
      </c>
    </row>
    <row r="141" spans="3:14" x14ac:dyDescent="0.2">
      <c r="C141" s="10" t="s">
        <v>450</v>
      </c>
      <c r="N141" s="10" t="s">
        <v>450</v>
      </c>
    </row>
    <row r="142" spans="3:14" x14ac:dyDescent="0.2">
      <c r="C142" s="10" t="s">
        <v>460</v>
      </c>
      <c r="N142" s="10" t="s">
        <v>460</v>
      </c>
    </row>
    <row r="143" spans="3:14" x14ac:dyDescent="0.2">
      <c r="C143" s="11" t="s">
        <v>460</v>
      </c>
      <c r="N143" s="10" t="s">
        <v>492</v>
      </c>
    </row>
    <row r="144" spans="3:14" x14ac:dyDescent="0.2">
      <c r="C144" s="10" t="s">
        <v>447</v>
      </c>
      <c r="N144" s="11" t="s">
        <v>442</v>
      </c>
    </row>
    <row r="145" spans="3:14" x14ac:dyDescent="0.2">
      <c r="C145" s="10" t="s">
        <v>444</v>
      </c>
      <c r="N145" s="10" t="s">
        <v>442</v>
      </c>
    </row>
    <row r="146" spans="3:14" x14ac:dyDescent="0.2">
      <c r="C146" s="17" t="s">
        <v>444</v>
      </c>
      <c r="N146" s="10" t="s">
        <v>460</v>
      </c>
    </row>
    <row r="147" spans="3:14" x14ac:dyDescent="0.2">
      <c r="C147" s="11" t="s">
        <v>449</v>
      </c>
      <c r="N147" s="11" t="s">
        <v>459</v>
      </c>
    </row>
    <row r="148" spans="3:14" x14ac:dyDescent="0.2">
      <c r="C148" s="18" t="s">
        <v>442</v>
      </c>
      <c r="N148" s="15" t="s">
        <v>552</v>
      </c>
    </row>
    <row r="149" spans="3:14" x14ac:dyDescent="0.2">
      <c r="C149" s="11" t="s">
        <v>460</v>
      </c>
      <c r="N149" s="10" t="s">
        <v>460</v>
      </c>
    </row>
    <row r="150" spans="3:14" x14ac:dyDescent="0.2">
      <c r="C150" s="11" t="s">
        <v>460</v>
      </c>
      <c r="N150" s="10" t="s">
        <v>446</v>
      </c>
    </row>
    <row r="151" spans="3:14" x14ac:dyDescent="0.2">
      <c r="C151" s="10" t="s">
        <v>460</v>
      </c>
      <c r="N151" s="11" t="s">
        <v>442</v>
      </c>
    </row>
    <row r="152" spans="3:14" x14ac:dyDescent="0.2">
      <c r="C152" s="18" t="s">
        <v>442</v>
      </c>
      <c r="N152" s="10" t="s">
        <v>460</v>
      </c>
    </row>
    <row r="153" spans="3:14" x14ac:dyDescent="0.2">
      <c r="C153" s="11" t="s">
        <v>460</v>
      </c>
      <c r="N153" s="11" t="s">
        <v>460</v>
      </c>
    </row>
    <row r="154" spans="3:14" x14ac:dyDescent="0.2">
      <c r="C154" s="11" t="s">
        <v>460</v>
      </c>
      <c r="N154" s="11" t="s">
        <v>442</v>
      </c>
    </row>
    <row r="155" spans="3:14" x14ac:dyDescent="0.2">
      <c r="C155" s="10" t="s">
        <v>460</v>
      </c>
      <c r="N155" s="11" t="s">
        <v>450</v>
      </c>
    </row>
    <row r="156" spans="3:14" x14ac:dyDescent="0.2">
      <c r="C156" s="11" t="s">
        <v>462</v>
      </c>
      <c r="N156" s="10" t="s">
        <v>460</v>
      </c>
    </row>
    <row r="157" spans="3:14" x14ac:dyDescent="0.2">
      <c r="C157" s="11" t="s">
        <v>442</v>
      </c>
      <c r="N157" s="11" t="s">
        <v>460</v>
      </c>
    </row>
    <row r="158" spans="3:14" x14ac:dyDescent="0.2">
      <c r="C158" s="18" t="s">
        <v>442</v>
      </c>
      <c r="N158" s="10" t="s">
        <v>460</v>
      </c>
    </row>
    <row r="159" spans="3:14" x14ac:dyDescent="0.2">
      <c r="C159" s="11" t="s">
        <v>442</v>
      </c>
      <c r="N159" s="10" t="s">
        <v>442</v>
      </c>
    </row>
    <row r="160" spans="3:14" x14ac:dyDescent="0.2">
      <c r="C160" s="10" t="s">
        <v>461</v>
      </c>
      <c r="N160" s="11" t="s">
        <v>460</v>
      </c>
    </row>
    <row r="161" spans="3:14" x14ac:dyDescent="0.2">
      <c r="C161" s="11" t="s">
        <v>442</v>
      </c>
      <c r="N161" s="10" t="s">
        <v>456</v>
      </c>
    </row>
    <row r="162" spans="3:14" x14ac:dyDescent="0.2">
      <c r="C162" s="18" t="s">
        <v>442</v>
      </c>
      <c r="N162" s="11" t="s">
        <v>459</v>
      </c>
    </row>
    <row r="163" spans="3:14" x14ac:dyDescent="0.2">
      <c r="C163" s="10" t="s">
        <v>460</v>
      </c>
      <c r="N163" s="11" t="s">
        <v>460</v>
      </c>
    </row>
    <row r="164" spans="3:14" x14ac:dyDescent="0.2">
      <c r="C164" s="11" t="s">
        <v>460</v>
      </c>
      <c r="N164" s="10" t="s">
        <v>460</v>
      </c>
    </row>
    <row r="165" spans="3:14" x14ac:dyDescent="0.2">
      <c r="C165" s="11" t="s">
        <v>460</v>
      </c>
      <c r="N165" s="15" t="s">
        <v>553</v>
      </c>
    </row>
    <row r="166" spans="3:14" x14ac:dyDescent="0.2">
      <c r="C166" s="11" t="s">
        <v>443</v>
      </c>
      <c r="N166" s="10" t="s">
        <v>456</v>
      </c>
    </row>
    <row r="167" spans="3:14" x14ac:dyDescent="0.2">
      <c r="C167" s="11" t="s">
        <v>460</v>
      </c>
      <c r="N167" s="11" t="s">
        <v>493</v>
      </c>
    </row>
    <row r="168" spans="3:14" x14ac:dyDescent="0.2">
      <c r="C168" s="11" t="s">
        <v>460</v>
      </c>
      <c r="N168" s="11" t="s">
        <v>462</v>
      </c>
    </row>
    <row r="169" spans="3:14" x14ac:dyDescent="0.2">
      <c r="C169" s="10" t="s">
        <v>450</v>
      </c>
      <c r="N169" s="11" t="s">
        <v>460</v>
      </c>
    </row>
    <row r="170" spans="3:14" x14ac:dyDescent="0.2">
      <c r="C170" s="10" t="s">
        <v>460</v>
      </c>
      <c r="N170" s="11" t="s">
        <v>452</v>
      </c>
    </row>
    <row r="171" spans="3:14" x14ac:dyDescent="0.2">
      <c r="C171" s="17" t="s">
        <v>444</v>
      </c>
      <c r="N171" s="11" t="s">
        <v>460</v>
      </c>
    </row>
    <row r="172" spans="3:14" x14ac:dyDescent="0.2">
      <c r="C172" s="10" t="s">
        <v>445</v>
      </c>
      <c r="N172" s="10" t="s">
        <v>460</v>
      </c>
    </row>
    <row r="173" spans="3:14" x14ac:dyDescent="0.2">
      <c r="C173" s="18" t="s">
        <v>442</v>
      </c>
      <c r="N173" s="10" t="s">
        <v>453</v>
      </c>
    </row>
    <row r="174" spans="3:14" x14ac:dyDescent="0.2">
      <c r="C174" s="10" t="s">
        <v>460</v>
      </c>
      <c r="N174" s="11" t="s">
        <v>453</v>
      </c>
    </row>
    <row r="175" spans="3:14" x14ac:dyDescent="0.2">
      <c r="C175" s="11" t="s">
        <v>442</v>
      </c>
      <c r="N175" s="10" t="s">
        <v>442</v>
      </c>
    </row>
    <row r="176" spans="3:14" x14ac:dyDescent="0.2">
      <c r="C176" s="11" t="s">
        <v>460</v>
      </c>
      <c r="N176" s="11" t="s">
        <v>460</v>
      </c>
    </row>
    <row r="177" spans="3:14" x14ac:dyDescent="0.2">
      <c r="C177" s="11" t="s">
        <v>460</v>
      </c>
      <c r="N177" s="11" t="s">
        <v>460</v>
      </c>
    </row>
    <row r="178" spans="3:14" x14ac:dyDescent="0.2">
      <c r="C178" s="11" t="s">
        <v>450</v>
      </c>
      <c r="N178" s="11" t="s">
        <v>442</v>
      </c>
    </row>
    <row r="179" spans="3:14" x14ac:dyDescent="0.2">
      <c r="C179" s="11" t="s">
        <v>558</v>
      </c>
      <c r="N179" s="10" t="s">
        <v>460</v>
      </c>
    </row>
    <row r="180" spans="3:14" x14ac:dyDescent="0.2">
      <c r="C180" s="17" t="s">
        <v>444</v>
      </c>
      <c r="N180" s="11" t="s">
        <v>460</v>
      </c>
    </row>
    <row r="181" spans="3:14" x14ac:dyDescent="0.2">
      <c r="C181" s="10" t="s">
        <v>462</v>
      </c>
      <c r="N181" s="11" t="s">
        <v>443</v>
      </c>
    </row>
    <row r="182" spans="3:14" x14ac:dyDescent="0.2">
      <c r="C182" s="11" t="s">
        <v>462</v>
      </c>
      <c r="N182" s="10" t="s">
        <v>460</v>
      </c>
    </row>
    <row r="183" spans="3:14" x14ac:dyDescent="0.2">
      <c r="C183" s="11" t="s">
        <v>460</v>
      </c>
      <c r="N183" s="10" t="s">
        <v>460</v>
      </c>
    </row>
    <row r="184" spans="3:14" x14ac:dyDescent="0.2">
      <c r="C184" s="11" t="s">
        <v>460</v>
      </c>
      <c r="N184" s="10" t="s">
        <v>460</v>
      </c>
    </row>
    <row r="185" spans="3:14" x14ac:dyDescent="0.2">
      <c r="C185" s="11" t="s">
        <v>450</v>
      </c>
      <c r="N185" s="11" t="s">
        <v>450</v>
      </c>
    </row>
    <row r="186" spans="3:14" x14ac:dyDescent="0.2">
      <c r="C186" s="10" t="s">
        <v>460</v>
      </c>
      <c r="N186" s="10" t="s">
        <v>460</v>
      </c>
    </row>
    <row r="187" spans="3:14" x14ac:dyDescent="0.2">
      <c r="C187" s="11" t="s">
        <v>442</v>
      </c>
      <c r="N187" s="10" t="s">
        <v>460</v>
      </c>
    </row>
    <row r="188" spans="3:14" x14ac:dyDescent="0.2">
      <c r="C188" s="10" t="s">
        <v>444</v>
      </c>
      <c r="N188" s="10" t="s">
        <v>460</v>
      </c>
    </row>
    <row r="189" spans="3:14" x14ac:dyDescent="0.2">
      <c r="C189" s="10" t="s">
        <v>444</v>
      </c>
      <c r="N189" s="11" t="s">
        <v>450</v>
      </c>
    </row>
    <row r="190" spans="3:14" x14ac:dyDescent="0.2">
      <c r="C190" s="18" t="s">
        <v>443</v>
      </c>
      <c r="N190" s="11" t="s">
        <v>445</v>
      </c>
    </row>
    <row r="191" spans="3:14" x14ac:dyDescent="0.2">
      <c r="C191" s="11" t="s">
        <v>446</v>
      </c>
      <c r="N191" s="10" t="s">
        <v>442</v>
      </c>
    </row>
    <row r="192" spans="3:14" x14ac:dyDescent="0.2">
      <c r="C192" s="11" t="s">
        <v>460</v>
      </c>
      <c r="N192" s="11" t="s">
        <v>450</v>
      </c>
    </row>
    <row r="193" spans="3:14" x14ac:dyDescent="0.2">
      <c r="C193" s="10" t="s">
        <v>460</v>
      </c>
      <c r="N193" s="11" t="s">
        <v>453</v>
      </c>
    </row>
    <row r="194" spans="3:14" x14ac:dyDescent="0.2">
      <c r="C194" s="10" t="s">
        <v>460</v>
      </c>
      <c r="N194" s="15" t="s">
        <v>458</v>
      </c>
    </row>
    <row r="195" spans="3:14" x14ac:dyDescent="0.2">
      <c r="C195" s="11" t="s">
        <v>460</v>
      </c>
      <c r="N195" s="11" t="s">
        <v>442</v>
      </c>
    </row>
    <row r="196" spans="3:14" x14ac:dyDescent="0.2">
      <c r="C196" s="10" t="s">
        <v>453</v>
      </c>
      <c r="N196" s="10" t="s">
        <v>442</v>
      </c>
    </row>
    <row r="197" spans="3:14" x14ac:dyDescent="0.2">
      <c r="C197" s="18" t="s">
        <v>443</v>
      </c>
      <c r="N197" s="11" t="s">
        <v>460</v>
      </c>
    </row>
    <row r="198" spans="3:14" x14ac:dyDescent="0.2">
      <c r="C198" s="10" t="s">
        <v>460</v>
      </c>
      <c r="N198" s="10" t="s">
        <v>455</v>
      </c>
    </row>
    <row r="199" spans="3:14" x14ac:dyDescent="0.2">
      <c r="C199" s="11" t="s">
        <v>453</v>
      </c>
      <c r="N199" s="10" t="s">
        <v>455</v>
      </c>
    </row>
    <row r="200" spans="3:14" x14ac:dyDescent="0.2">
      <c r="C200" s="11" t="s">
        <v>462</v>
      </c>
      <c r="N200" s="11" t="s">
        <v>460</v>
      </c>
    </row>
    <row r="201" spans="3:14" x14ac:dyDescent="0.2">
      <c r="C201" s="11" t="s">
        <v>442</v>
      </c>
      <c r="N201" s="11" t="s">
        <v>445</v>
      </c>
    </row>
    <row r="202" spans="3:14" x14ac:dyDescent="0.2">
      <c r="C202" s="10" t="s">
        <v>460</v>
      </c>
      <c r="N202" s="11" t="s">
        <v>494</v>
      </c>
    </row>
    <row r="203" spans="3:14" x14ac:dyDescent="0.2">
      <c r="C203" s="11" t="s">
        <v>460</v>
      </c>
      <c r="N203" s="10" t="s">
        <v>462</v>
      </c>
    </row>
    <row r="204" spans="3:14" x14ac:dyDescent="0.2">
      <c r="C204" s="11" t="s">
        <v>460</v>
      </c>
      <c r="N204" s="11" t="s">
        <v>445</v>
      </c>
    </row>
    <row r="205" spans="3:14" x14ac:dyDescent="0.2">
      <c r="C205" s="10" t="s">
        <v>452</v>
      </c>
      <c r="N205" s="10" t="s">
        <v>460</v>
      </c>
    </row>
    <row r="206" spans="3:14" x14ac:dyDescent="0.2">
      <c r="C206" s="10" t="s">
        <v>460</v>
      </c>
      <c r="N206" s="11" t="s">
        <v>460</v>
      </c>
    </row>
    <row r="207" spans="3:14" x14ac:dyDescent="0.2">
      <c r="C207" s="10" t="s">
        <v>460</v>
      </c>
      <c r="N207" s="11" t="s">
        <v>460</v>
      </c>
    </row>
    <row r="208" spans="3:14" x14ac:dyDescent="0.2">
      <c r="C208" s="10" t="s">
        <v>460</v>
      </c>
      <c r="N208" s="11" t="s">
        <v>489</v>
      </c>
    </row>
    <row r="209" spans="3:14" x14ac:dyDescent="0.2">
      <c r="C209" s="10" t="s">
        <v>460</v>
      </c>
      <c r="N209" s="10" t="s">
        <v>442</v>
      </c>
    </row>
    <row r="210" spans="3:14" x14ac:dyDescent="0.2">
      <c r="C210" s="11" t="s">
        <v>443</v>
      </c>
      <c r="N210" s="10" t="s">
        <v>460</v>
      </c>
    </row>
    <row r="211" spans="3:14" x14ac:dyDescent="0.2">
      <c r="C211" s="17" t="s">
        <v>444</v>
      </c>
      <c r="N211" s="11" t="s">
        <v>460</v>
      </c>
    </row>
    <row r="212" spans="3:14" x14ac:dyDescent="0.2">
      <c r="C212" s="11" t="s">
        <v>460</v>
      </c>
      <c r="N212" s="11" t="s">
        <v>460</v>
      </c>
    </row>
    <row r="213" spans="3:14" x14ac:dyDescent="0.2">
      <c r="C213" s="11" t="s">
        <v>460</v>
      </c>
      <c r="N213" s="11" t="s">
        <v>460</v>
      </c>
    </row>
  </sheetData>
  <sortState xmlns:xlrd2="http://schemas.microsoft.com/office/spreadsheetml/2017/richdata2" ref="L2:N213">
    <sortCondition descending="1" ref="M1:M213"/>
  </sortState>
  <conditionalFormatting sqref="A2:B2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{FEA210B0-43E7-E540-BCAF-A55CC9254E4F}</x14:id>
        </ext>
      </extLst>
    </cfRule>
  </conditionalFormatting>
  <conditionalFormatting sqref="L2:M2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{2E5AB7C3-73B8-5E4D-BA49-46567D6BB847}</x14:id>
        </ext>
      </extLst>
    </cfRule>
  </conditionalFormatting>
  <conditionalFormatting sqref="M2:M2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{1731D618-EAEB-E74D-B269-C33B44E47749}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A210B0-43E7-E540-BCAF-A55CC9254E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A2:B22</xm:sqref>
        </x14:conditionalFormatting>
        <x14:conditionalFormatting xmlns:xm="http://schemas.microsoft.com/office/excel/2006/main">
          <x14:cfRule type="dataBar" id="{2E5AB7C3-73B8-5E4D-BA49-46567D6BB8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L2:M22</xm:sqref>
        </x14:conditionalFormatting>
        <x14:conditionalFormatting xmlns:xm="http://schemas.microsoft.com/office/excel/2006/main">
          <x14:cfRule type="dataBar" id="{1731D618-EAEB-E74D-B269-C33B44E4774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M2:M22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797A-B9CE-4F43-BC0C-7CDF8C4CED77}">
  <dimension ref="A1:E213"/>
  <sheetViews>
    <sheetView workbookViewId="0">
      <selection activeCell="G6" sqref="G6"/>
    </sheetView>
  </sheetViews>
  <sheetFormatPr baseColWidth="10" defaultRowHeight="15" x14ac:dyDescent="0.2"/>
  <cols>
    <col min="1" max="1" width="8.1640625" bestFit="1" customWidth="1"/>
    <col min="2" max="2" width="9.33203125" bestFit="1" customWidth="1"/>
  </cols>
  <sheetData>
    <row r="1" spans="1:5" x14ac:dyDescent="0.2">
      <c r="A1" s="3" t="s">
        <v>0</v>
      </c>
      <c r="B1" s="5" t="s">
        <v>1</v>
      </c>
      <c r="D1" s="3" t="s">
        <v>0</v>
      </c>
      <c r="E1" s="5" t="s">
        <v>1</v>
      </c>
    </row>
    <row r="2" spans="1:5" x14ac:dyDescent="0.2">
      <c r="A2" s="14" t="s">
        <v>9</v>
      </c>
      <c r="B2" s="10" t="s">
        <v>305</v>
      </c>
      <c r="D2" s="14" t="s">
        <v>58</v>
      </c>
      <c r="E2" s="10" t="s">
        <v>438</v>
      </c>
    </row>
    <row r="3" spans="1:5" x14ac:dyDescent="0.2">
      <c r="A3" s="9" t="s">
        <v>13</v>
      </c>
      <c r="B3" s="10" t="s">
        <v>305</v>
      </c>
      <c r="D3" s="9" t="s">
        <v>61</v>
      </c>
      <c r="E3" s="10" t="s">
        <v>438</v>
      </c>
    </row>
    <row r="4" spans="1:5" x14ac:dyDescent="0.2">
      <c r="A4" s="14" t="s">
        <v>17</v>
      </c>
      <c r="B4" s="10" t="s">
        <v>305</v>
      </c>
      <c r="D4" s="14" t="s">
        <v>64</v>
      </c>
      <c r="E4" s="10" t="s">
        <v>438</v>
      </c>
    </row>
    <row r="5" spans="1:5" x14ac:dyDescent="0.2">
      <c r="A5" s="9" t="s">
        <v>21</v>
      </c>
      <c r="B5" s="10" t="s">
        <v>305</v>
      </c>
      <c r="D5" s="9" t="s">
        <v>67</v>
      </c>
      <c r="E5" s="10" t="s">
        <v>438</v>
      </c>
    </row>
    <row r="6" spans="1:5" x14ac:dyDescent="0.2">
      <c r="A6" s="14" t="s">
        <v>25</v>
      </c>
      <c r="B6" s="10" t="s">
        <v>305</v>
      </c>
      <c r="D6" s="14" t="s">
        <v>69</v>
      </c>
      <c r="E6" s="10" t="s">
        <v>438</v>
      </c>
    </row>
    <row r="7" spans="1:5" x14ac:dyDescent="0.2">
      <c r="A7" s="9" t="s">
        <v>28</v>
      </c>
      <c r="B7" s="10" t="s">
        <v>305</v>
      </c>
      <c r="D7" s="9" t="s">
        <v>73</v>
      </c>
      <c r="E7" s="10" t="s">
        <v>438</v>
      </c>
    </row>
    <row r="8" spans="1:5" x14ac:dyDescent="0.2">
      <c r="A8" s="14" t="s">
        <v>30</v>
      </c>
      <c r="B8" s="10" t="s">
        <v>305</v>
      </c>
      <c r="D8" s="14" t="s">
        <v>75</v>
      </c>
      <c r="E8" s="10" t="s">
        <v>438</v>
      </c>
    </row>
    <row r="9" spans="1:5" x14ac:dyDescent="0.2">
      <c r="A9" s="9" t="s">
        <v>33</v>
      </c>
      <c r="B9" s="10" t="s">
        <v>305</v>
      </c>
      <c r="D9" s="9" t="s">
        <v>79</v>
      </c>
      <c r="E9" s="10" t="s">
        <v>438</v>
      </c>
    </row>
    <row r="10" spans="1:5" x14ac:dyDescent="0.2">
      <c r="A10" s="14" t="s">
        <v>37</v>
      </c>
      <c r="B10" s="10" t="s">
        <v>305</v>
      </c>
      <c r="D10" s="14" t="s">
        <v>82</v>
      </c>
      <c r="E10" s="10" t="s">
        <v>438</v>
      </c>
    </row>
    <row r="11" spans="1:5" x14ac:dyDescent="0.2">
      <c r="A11" s="9" t="s">
        <v>39</v>
      </c>
      <c r="B11" s="10" t="s">
        <v>305</v>
      </c>
      <c r="D11" s="9" t="s">
        <v>86</v>
      </c>
      <c r="E11" s="10" t="s">
        <v>438</v>
      </c>
    </row>
    <row r="12" spans="1:5" x14ac:dyDescent="0.2">
      <c r="A12" s="14" t="s">
        <v>43</v>
      </c>
      <c r="B12" s="10" t="s">
        <v>305</v>
      </c>
      <c r="D12" s="14" t="s">
        <v>89</v>
      </c>
      <c r="E12" s="10" t="s">
        <v>438</v>
      </c>
    </row>
    <row r="13" spans="1:5" x14ac:dyDescent="0.2">
      <c r="A13" s="9" t="s">
        <v>46</v>
      </c>
      <c r="B13" s="10" t="s">
        <v>305</v>
      </c>
      <c r="D13" s="9" t="s">
        <v>91</v>
      </c>
      <c r="E13" s="10" t="s">
        <v>438</v>
      </c>
    </row>
    <row r="14" spans="1:5" x14ac:dyDescent="0.2">
      <c r="A14" s="14" t="s">
        <v>50</v>
      </c>
      <c r="B14" s="10" t="s">
        <v>305</v>
      </c>
      <c r="D14" s="14" t="s">
        <v>94</v>
      </c>
      <c r="E14" s="10" t="s">
        <v>438</v>
      </c>
    </row>
    <row r="15" spans="1:5" x14ac:dyDescent="0.2">
      <c r="A15" s="9" t="s">
        <v>54</v>
      </c>
      <c r="B15" s="10" t="s">
        <v>305</v>
      </c>
      <c r="D15" s="9" t="s">
        <v>97</v>
      </c>
      <c r="E15" s="10" t="s">
        <v>438</v>
      </c>
    </row>
    <row r="16" spans="1:5" x14ac:dyDescent="0.2">
      <c r="A16" s="14" t="s">
        <v>58</v>
      </c>
      <c r="B16" s="10" t="s">
        <v>438</v>
      </c>
      <c r="D16" s="14" t="s">
        <v>99</v>
      </c>
      <c r="E16" s="10" t="s">
        <v>438</v>
      </c>
    </row>
    <row r="17" spans="1:5" x14ac:dyDescent="0.2">
      <c r="A17" s="14" t="s">
        <v>58</v>
      </c>
      <c r="B17" s="10" t="s">
        <v>305</v>
      </c>
      <c r="D17" s="9" t="s">
        <v>102</v>
      </c>
      <c r="E17" s="10" t="s">
        <v>438</v>
      </c>
    </row>
    <row r="18" spans="1:5" x14ac:dyDescent="0.2">
      <c r="A18" s="9" t="s">
        <v>61</v>
      </c>
      <c r="B18" s="10" t="s">
        <v>438</v>
      </c>
      <c r="D18" s="14" t="s">
        <v>106</v>
      </c>
      <c r="E18" s="10" t="s">
        <v>438</v>
      </c>
    </row>
    <row r="19" spans="1:5" x14ac:dyDescent="0.2">
      <c r="A19" s="9" t="s">
        <v>61</v>
      </c>
      <c r="B19" s="10" t="s">
        <v>305</v>
      </c>
      <c r="D19" s="9" t="s">
        <v>109</v>
      </c>
      <c r="E19" s="10" t="s">
        <v>438</v>
      </c>
    </row>
    <row r="20" spans="1:5" x14ac:dyDescent="0.2">
      <c r="A20" s="14" t="s">
        <v>64</v>
      </c>
      <c r="B20" s="10" t="s">
        <v>438</v>
      </c>
      <c r="D20" s="14" t="s">
        <v>111</v>
      </c>
      <c r="E20" s="10" t="s">
        <v>438</v>
      </c>
    </row>
    <row r="21" spans="1:5" x14ac:dyDescent="0.2">
      <c r="A21" s="14" t="s">
        <v>64</v>
      </c>
      <c r="B21" s="10" t="s">
        <v>305</v>
      </c>
      <c r="D21" s="14" t="s">
        <v>113</v>
      </c>
      <c r="E21" s="10" t="s">
        <v>438</v>
      </c>
    </row>
    <row r="22" spans="1:5" x14ac:dyDescent="0.2">
      <c r="A22" s="9" t="s">
        <v>67</v>
      </c>
      <c r="B22" s="10" t="s">
        <v>438</v>
      </c>
      <c r="D22" s="9" t="s">
        <v>116</v>
      </c>
      <c r="E22" s="10" t="s">
        <v>438</v>
      </c>
    </row>
    <row r="23" spans="1:5" x14ac:dyDescent="0.2">
      <c r="A23" s="9" t="s">
        <v>67</v>
      </c>
      <c r="B23" s="10" t="s">
        <v>305</v>
      </c>
      <c r="D23" s="14" t="s">
        <v>118</v>
      </c>
      <c r="E23" s="10" t="s">
        <v>438</v>
      </c>
    </row>
    <row r="24" spans="1:5" x14ac:dyDescent="0.2">
      <c r="A24" s="14" t="s">
        <v>69</v>
      </c>
      <c r="B24" s="10" t="s">
        <v>438</v>
      </c>
      <c r="D24" s="9" t="s">
        <v>120</v>
      </c>
      <c r="E24" s="10" t="s">
        <v>438</v>
      </c>
    </row>
    <row r="25" spans="1:5" x14ac:dyDescent="0.2">
      <c r="A25" s="14" t="s">
        <v>69</v>
      </c>
      <c r="B25" s="10" t="s">
        <v>305</v>
      </c>
      <c r="D25" s="14" t="s">
        <v>123</v>
      </c>
      <c r="E25" s="10" t="s">
        <v>438</v>
      </c>
    </row>
    <row r="26" spans="1:5" x14ac:dyDescent="0.2">
      <c r="A26" s="9" t="s">
        <v>73</v>
      </c>
      <c r="B26" s="10" t="s">
        <v>438</v>
      </c>
      <c r="D26" s="9" t="s">
        <v>126</v>
      </c>
      <c r="E26" s="10" t="s">
        <v>438</v>
      </c>
    </row>
    <row r="27" spans="1:5" x14ac:dyDescent="0.2">
      <c r="A27" s="9" t="s">
        <v>73</v>
      </c>
      <c r="B27" s="10" t="s">
        <v>305</v>
      </c>
      <c r="D27" s="14" t="s">
        <v>129</v>
      </c>
      <c r="E27" s="10" t="s">
        <v>438</v>
      </c>
    </row>
    <row r="28" spans="1:5" x14ac:dyDescent="0.2">
      <c r="A28" s="14" t="s">
        <v>75</v>
      </c>
      <c r="B28" s="10" t="s">
        <v>438</v>
      </c>
      <c r="D28" s="9" t="s">
        <v>131</v>
      </c>
      <c r="E28" s="10" t="s">
        <v>438</v>
      </c>
    </row>
    <row r="29" spans="1:5" x14ac:dyDescent="0.2">
      <c r="A29" s="14" t="s">
        <v>75</v>
      </c>
      <c r="B29" s="10" t="s">
        <v>305</v>
      </c>
      <c r="D29" s="14" t="s">
        <v>135</v>
      </c>
      <c r="E29" s="10" t="s">
        <v>438</v>
      </c>
    </row>
    <row r="30" spans="1:5" x14ac:dyDescent="0.2">
      <c r="A30" s="9" t="s">
        <v>79</v>
      </c>
      <c r="B30" s="10" t="s">
        <v>438</v>
      </c>
      <c r="D30" s="9" t="s">
        <v>138</v>
      </c>
      <c r="E30" s="10" t="s">
        <v>438</v>
      </c>
    </row>
    <row r="31" spans="1:5" x14ac:dyDescent="0.2">
      <c r="A31" s="9" t="s">
        <v>79</v>
      </c>
      <c r="B31" s="10" t="s">
        <v>305</v>
      </c>
      <c r="D31" s="14" t="s">
        <v>141</v>
      </c>
      <c r="E31" s="10" t="s">
        <v>438</v>
      </c>
    </row>
    <row r="32" spans="1:5" x14ac:dyDescent="0.2">
      <c r="A32" s="14" t="s">
        <v>82</v>
      </c>
      <c r="B32" s="10" t="s">
        <v>438</v>
      </c>
      <c r="D32" s="9" t="s">
        <v>143</v>
      </c>
      <c r="E32" s="10" t="s">
        <v>438</v>
      </c>
    </row>
    <row r="33" spans="1:5" x14ac:dyDescent="0.2">
      <c r="A33" s="14" t="s">
        <v>82</v>
      </c>
      <c r="B33" s="10" t="s">
        <v>305</v>
      </c>
      <c r="D33" s="14" t="s">
        <v>147</v>
      </c>
      <c r="E33" s="10" t="s">
        <v>438</v>
      </c>
    </row>
    <row r="34" spans="1:5" x14ac:dyDescent="0.2">
      <c r="A34" s="9" t="s">
        <v>86</v>
      </c>
      <c r="B34" s="10" t="s">
        <v>438</v>
      </c>
      <c r="D34" s="9" t="s">
        <v>150</v>
      </c>
      <c r="E34" s="10" t="s">
        <v>438</v>
      </c>
    </row>
    <row r="35" spans="1:5" x14ac:dyDescent="0.2">
      <c r="A35" s="9" t="s">
        <v>86</v>
      </c>
      <c r="B35" s="10" t="s">
        <v>305</v>
      </c>
      <c r="D35" s="14" t="s">
        <v>152</v>
      </c>
      <c r="E35" s="10" t="s">
        <v>438</v>
      </c>
    </row>
    <row r="36" spans="1:5" x14ac:dyDescent="0.2">
      <c r="A36" s="14" t="s">
        <v>89</v>
      </c>
      <c r="B36" s="10" t="s">
        <v>438</v>
      </c>
      <c r="D36" s="9" t="s">
        <v>155</v>
      </c>
      <c r="E36" s="10" t="s">
        <v>438</v>
      </c>
    </row>
    <row r="37" spans="1:5" x14ac:dyDescent="0.2">
      <c r="A37" s="14" t="s">
        <v>89</v>
      </c>
      <c r="B37" s="10" t="s">
        <v>305</v>
      </c>
      <c r="D37" s="14" t="s">
        <v>158</v>
      </c>
      <c r="E37" s="10" t="s">
        <v>438</v>
      </c>
    </row>
    <row r="38" spans="1:5" x14ac:dyDescent="0.2">
      <c r="A38" s="9" t="s">
        <v>91</v>
      </c>
      <c r="B38" s="10" t="s">
        <v>438</v>
      </c>
      <c r="D38" s="9" t="s">
        <v>160</v>
      </c>
      <c r="E38" s="10" t="s">
        <v>438</v>
      </c>
    </row>
    <row r="39" spans="1:5" x14ac:dyDescent="0.2">
      <c r="A39" s="9" t="s">
        <v>91</v>
      </c>
      <c r="B39" s="10" t="s">
        <v>305</v>
      </c>
      <c r="D39" s="14" t="s">
        <v>163</v>
      </c>
      <c r="E39" s="10" t="s">
        <v>438</v>
      </c>
    </row>
    <row r="40" spans="1:5" x14ac:dyDescent="0.2">
      <c r="A40" s="14" t="s">
        <v>94</v>
      </c>
      <c r="B40" s="10" t="s">
        <v>438</v>
      </c>
      <c r="D40" s="9" t="s">
        <v>166</v>
      </c>
      <c r="E40" s="10" t="s">
        <v>438</v>
      </c>
    </row>
    <row r="41" spans="1:5" x14ac:dyDescent="0.2">
      <c r="A41" s="14" t="s">
        <v>94</v>
      </c>
      <c r="B41" s="10" t="s">
        <v>305</v>
      </c>
      <c r="D41" s="14" t="s">
        <v>168</v>
      </c>
      <c r="E41" s="10" t="s">
        <v>438</v>
      </c>
    </row>
    <row r="42" spans="1:5" x14ac:dyDescent="0.2">
      <c r="A42" s="9" t="s">
        <v>97</v>
      </c>
      <c r="B42" s="10" t="s">
        <v>438</v>
      </c>
      <c r="D42" s="9" t="s">
        <v>171</v>
      </c>
      <c r="E42" s="10" t="s">
        <v>438</v>
      </c>
    </row>
    <row r="43" spans="1:5" x14ac:dyDescent="0.2">
      <c r="A43" s="9" t="s">
        <v>97</v>
      </c>
      <c r="B43" s="10" t="s">
        <v>305</v>
      </c>
      <c r="D43" s="14" t="s">
        <v>173</v>
      </c>
      <c r="E43" s="10" t="s">
        <v>438</v>
      </c>
    </row>
    <row r="44" spans="1:5" x14ac:dyDescent="0.2">
      <c r="A44" s="14" t="s">
        <v>99</v>
      </c>
      <c r="B44" s="10" t="s">
        <v>438</v>
      </c>
      <c r="D44" s="9" t="s">
        <v>176</v>
      </c>
      <c r="E44" s="10" t="s">
        <v>438</v>
      </c>
    </row>
    <row r="45" spans="1:5" x14ac:dyDescent="0.2">
      <c r="A45" s="14" t="s">
        <v>99</v>
      </c>
      <c r="B45" s="10" t="s">
        <v>305</v>
      </c>
      <c r="D45" s="14" t="s">
        <v>179</v>
      </c>
      <c r="E45" s="10" t="s">
        <v>438</v>
      </c>
    </row>
    <row r="46" spans="1:5" x14ac:dyDescent="0.2">
      <c r="A46" s="9" t="s">
        <v>102</v>
      </c>
      <c r="B46" s="10" t="s">
        <v>438</v>
      </c>
      <c r="D46" s="9" t="s">
        <v>182</v>
      </c>
      <c r="E46" s="10" t="s">
        <v>438</v>
      </c>
    </row>
    <row r="47" spans="1:5" x14ac:dyDescent="0.2">
      <c r="A47" s="9" t="s">
        <v>102</v>
      </c>
      <c r="B47" s="10" t="s">
        <v>305</v>
      </c>
      <c r="D47" s="14" t="s">
        <v>184</v>
      </c>
      <c r="E47" s="10" t="s">
        <v>438</v>
      </c>
    </row>
    <row r="48" spans="1:5" x14ac:dyDescent="0.2">
      <c r="A48" s="14" t="s">
        <v>106</v>
      </c>
      <c r="B48" s="10" t="s">
        <v>438</v>
      </c>
      <c r="D48" s="9" t="s">
        <v>185</v>
      </c>
      <c r="E48" s="10" t="s">
        <v>438</v>
      </c>
    </row>
    <row r="49" spans="1:5" x14ac:dyDescent="0.2">
      <c r="A49" s="14" t="s">
        <v>106</v>
      </c>
      <c r="B49" s="10" t="s">
        <v>305</v>
      </c>
      <c r="D49" s="14" t="s">
        <v>189</v>
      </c>
      <c r="E49" s="10" t="s">
        <v>438</v>
      </c>
    </row>
    <row r="50" spans="1:5" x14ac:dyDescent="0.2">
      <c r="A50" s="9" t="s">
        <v>109</v>
      </c>
      <c r="B50" s="10" t="s">
        <v>438</v>
      </c>
      <c r="D50" s="9" t="s">
        <v>192</v>
      </c>
      <c r="E50" s="10" t="s">
        <v>438</v>
      </c>
    </row>
    <row r="51" spans="1:5" x14ac:dyDescent="0.2">
      <c r="A51" s="9" t="s">
        <v>109</v>
      </c>
      <c r="B51" s="10" t="s">
        <v>305</v>
      </c>
      <c r="D51" s="14" t="s">
        <v>193</v>
      </c>
      <c r="E51" s="10" t="s">
        <v>438</v>
      </c>
    </row>
    <row r="52" spans="1:5" x14ac:dyDescent="0.2">
      <c r="A52" s="14" t="s">
        <v>111</v>
      </c>
      <c r="B52" s="10" t="s">
        <v>438</v>
      </c>
      <c r="D52" s="9" t="s">
        <v>201</v>
      </c>
      <c r="E52" s="10" t="s">
        <v>438</v>
      </c>
    </row>
    <row r="53" spans="1:5" x14ac:dyDescent="0.2">
      <c r="A53" s="14" t="s">
        <v>111</v>
      </c>
      <c r="B53" s="10" t="s">
        <v>305</v>
      </c>
      <c r="D53" s="14" t="s">
        <v>204</v>
      </c>
      <c r="E53" s="10" t="s">
        <v>438</v>
      </c>
    </row>
    <row r="54" spans="1:5" x14ac:dyDescent="0.2">
      <c r="A54" s="14" t="s">
        <v>113</v>
      </c>
      <c r="B54" s="10" t="s">
        <v>438</v>
      </c>
      <c r="D54" s="9" t="s">
        <v>206</v>
      </c>
      <c r="E54" s="10" t="s">
        <v>438</v>
      </c>
    </row>
    <row r="55" spans="1:5" x14ac:dyDescent="0.2">
      <c r="A55" s="9" t="s">
        <v>113</v>
      </c>
      <c r="B55" s="10" t="s">
        <v>305</v>
      </c>
      <c r="D55" s="14" t="s">
        <v>209</v>
      </c>
      <c r="E55" s="10" t="s">
        <v>438</v>
      </c>
    </row>
    <row r="56" spans="1:5" x14ac:dyDescent="0.2">
      <c r="A56" s="9" t="s">
        <v>116</v>
      </c>
      <c r="B56" s="10" t="s">
        <v>438</v>
      </c>
      <c r="D56" s="9" t="s">
        <v>212</v>
      </c>
      <c r="E56" s="10" t="s">
        <v>438</v>
      </c>
    </row>
    <row r="57" spans="1:5" x14ac:dyDescent="0.2">
      <c r="A57" s="14" t="s">
        <v>116</v>
      </c>
      <c r="B57" s="10" t="s">
        <v>305</v>
      </c>
      <c r="D57" s="14" t="s">
        <v>214</v>
      </c>
      <c r="E57" s="10" t="s">
        <v>438</v>
      </c>
    </row>
    <row r="58" spans="1:5" x14ac:dyDescent="0.2">
      <c r="A58" s="14" t="s">
        <v>118</v>
      </c>
      <c r="B58" s="10" t="s">
        <v>438</v>
      </c>
      <c r="D58" s="9" t="s">
        <v>218</v>
      </c>
      <c r="E58" s="10" t="s">
        <v>438</v>
      </c>
    </row>
    <row r="59" spans="1:5" x14ac:dyDescent="0.2">
      <c r="A59" s="9" t="s">
        <v>118</v>
      </c>
      <c r="B59" s="10" t="s">
        <v>305</v>
      </c>
      <c r="D59" s="14" t="s">
        <v>220</v>
      </c>
      <c r="E59" s="10" t="s">
        <v>438</v>
      </c>
    </row>
    <row r="60" spans="1:5" x14ac:dyDescent="0.2">
      <c r="A60" s="9" t="s">
        <v>120</v>
      </c>
      <c r="B60" s="10" t="s">
        <v>438</v>
      </c>
      <c r="D60" s="14" t="s">
        <v>223</v>
      </c>
      <c r="E60" s="10" t="s">
        <v>438</v>
      </c>
    </row>
    <row r="61" spans="1:5" x14ac:dyDescent="0.2">
      <c r="A61" s="14" t="s">
        <v>120</v>
      </c>
      <c r="B61" s="10" t="s">
        <v>305</v>
      </c>
      <c r="D61" s="9" t="s">
        <v>225</v>
      </c>
      <c r="E61" s="10" t="s">
        <v>438</v>
      </c>
    </row>
    <row r="62" spans="1:5" x14ac:dyDescent="0.2">
      <c r="A62" s="14" t="s">
        <v>123</v>
      </c>
      <c r="B62" s="10" t="s">
        <v>438</v>
      </c>
      <c r="D62" s="14" t="s">
        <v>226</v>
      </c>
      <c r="E62" s="10" t="s">
        <v>438</v>
      </c>
    </row>
    <row r="63" spans="1:5" x14ac:dyDescent="0.2">
      <c r="A63" s="9" t="s">
        <v>123</v>
      </c>
      <c r="B63" s="10" t="s">
        <v>305</v>
      </c>
      <c r="D63" s="9" t="s">
        <v>229</v>
      </c>
      <c r="E63" s="10" t="s">
        <v>438</v>
      </c>
    </row>
    <row r="64" spans="1:5" x14ac:dyDescent="0.2">
      <c r="A64" s="9" t="s">
        <v>126</v>
      </c>
      <c r="B64" s="10" t="s">
        <v>438</v>
      </c>
      <c r="D64" s="14" t="s">
        <v>230</v>
      </c>
      <c r="E64" s="10" t="s">
        <v>438</v>
      </c>
    </row>
    <row r="65" spans="1:5" x14ac:dyDescent="0.2">
      <c r="A65" s="14" t="s">
        <v>126</v>
      </c>
      <c r="B65" s="10" t="s">
        <v>305</v>
      </c>
      <c r="D65" s="9" t="s">
        <v>233</v>
      </c>
      <c r="E65" s="10" t="s">
        <v>438</v>
      </c>
    </row>
    <row r="66" spans="1:5" x14ac:dyDescent="0.2">
      <c r="A66" s="14" t="s">
        <v>129</v>
      </c>
      <c r="B66" s="10" t="s">
        <v>438</v>
      </c>
      <c r="D66" s="14" t="s">
        <v>236</v>
      </c>
      <c r="E66" s="10" t="s">
        <v>438</v>
      </c>
    </row>
    <row r="67" spans="1:5" x14ac:dyDescent="0.2">
      <c r="A67" s="9" t="s">
        <v>129</v>
      </c>
      <c r="B67" s="10" t="s">
        <v>305</v>
      </c>
      <c r="D67" s="9" t="s">
        <v>238</v>
      </c>
      <c r="E67" s="10" t="s">
        <v>438</v>
      </c>
    </row>
    <row r="68" spans="1:5" x14ac:dyDescent="0.2">
      <c r="A68" s="9" t="s">
        <v>131</v>
      </c>
      <c r="B68" s="10" t="s">
        <v>438</v>
      </c>
      <c r="D68" s="14" t="s">
        <v>241</v>
      </c>
      <c r="E68" s="10" t="s">
        <v>438</v>
      </c>
    </row>
    <row r="69" spans="1:5" x14ac:dyDescent="0.2">
      <c r="A69" s="14" t="s">
        <v>131</v>
      </c>
      <c r="B69" s="10" t="s">
        <v>305</v>
      </c>
      <c r="D69" s="9" t="s">
        <v>243</v>
      </c>
      <c r="E69" s="10" t="s">
        <v>438</v>
      </c>
    </row>
    <row r="70" spans="1:5" x14ac:dyDescent="0.2">
      <c r="A70" s="14" t="s">
        <v>135</v>
      </c>
      <c r="B70" s="10" t="s">
        <v>438</v>
      </c>
      <c r="D70" s="14" t="s">
        <v>246</v>
      </c>
      <c r="E70" s="10" t="s">
        <v>438</v>
      </c>
    </row>
    <row r="71" spans="1:5" x14ac:dyDescent="0.2">
      <c r="A71" s="9" t="s">
        <v>135</v>
      </c>
      <c r="B71" s="10" t="s">
        <v>305</v>
      </c>
      <c r="D71" s="9" t="s">
        <v>249</v>
      </c>
      <c r="E71" s="10" t="s">
        <v>438</v>
      </c>
    </row>
    <row r="72" spans="1:5" x14ac:dyDescent="0.2">
      <c r="A72" s="9" t="s">
        <v>138</v>
      </c>
      <c r="B72" s="10" t="s">
        <v>438</v>
      </c>
      <c r="D72" s="14" t="s">
        <v>252</v>
      </c>
      <c r="E72" s="10" t="s">
        <v>438</v>
      </c>
    </row>
    <row r="73" spans="1:5" x14ac:dyDescent="0.2">
      <c r="A73" s="14" t="s">
        <v>138</v>
      </c>
      <c r="B73" s="10" t="s">
        <v>305</v>
      </c>
      <c r="D73" s="9" t="s">
        <v>255</v>
      </c>
      <c r="E73" s="10" t="s">
        <v>438</v>
      </c>
    </row>
    <row r="74" spans="1:5" x14ac:dyDescent="0.2">
      <c r="A74" s="14" t="s">
        <v>141</v>
      </c>
      <c r="B74" s="10" t="s">
        <v>438</v>
      </c>
      <c r="D74" s="14" t="s">
        <v>257</v>
      </c>
      <c r="E74" s="10" t="s">
        <v>438</v>
      </c>
    </row>
    <row r="75" spans="1:5" x14ac:dyDescent="0.2">
      <c r="A75" s="9" t="s">
        <v>141</v>
      </c>
      <c r="B75" s="10" t="s">
        <v>305</v>
      </c>
      <c r="D75" s="9" t="s">
        <v>260</v>
      </c>
      <c r="E75" s="10" t="s">
        <v>438</v>
      </c>
    </row>
    <row r="76" spans="1:5" x14ac:dyDescent="0.2">
      <c r="A76" s="9" t="s">
        <v>143</v>
      </c>
      <c r="B76" s="10" t="s">
        <v>438</v>
      </c>
      <c r="D76" s="14" t="s">
        <v>263</v>
      </c>
      <c r="E76" s="10" t="s">
        <v>438</v>
      </c>
    </row>
    <row r="77" spans="1:5" x14ac:dyDescent="0.2">
      <c r="A77" s="14" t="s">
        <v>143</v>
      </c>
      <c r="B77" s="10" t="s">
        <v>305</v>
      </c>
      <c r="D77" s="9" t="s">
        <v>266</v>
      </c>
      <c r="E77" s="10" t="s">
        <v>438</v>
      </c>
    </row>
    <row r="78" spans="1:5" x14ac:dyDescent="0.2">
      <c r="A78" s="14" t="s">
        <v>147</v>
      </c>
      <c r="B78" s="10" t="s">
        <v>438</v>
      </c>
      <c r="D78" s="14" t="s">
        <v>268</v>
      </c>
      <c r="E78" s="10" t="s">
        <v>438</v>
      </c>
    </row>
    <row r="79" spans="1:5" x14ac:dyDescent="0.2">
      <c r="A79" s="9" t="s">
        <v>147</v>
      </c>
      <c r="B79" s="10" t="s">
        <v>305</v>
      </c>
      <c r="D79" s="9" t="s">
        <v>271</v>
      </c>
      <c r="E79" s="10" t="s">
        <v>438</v>
      </c>
    </row>
    <row r="80" spans="1:5" x14ac:dyDescent="0.2">
      <c r="A80" s="9" t="s">
        <v>150</v>
      </c>
      <c r="B80" s="10" t="s">
        <v>438</v>
      </c>
      <c r="D80" s="14" t="s">
        <v>274</v>
      </c>
      <c r="E80" s="10" t="s">
        <v>438</v>
      </c>
    </row>
    <row r="81" spans="1:5" x14ac:dyDescent="0.2">
      <c r="A81" s="14" t="s">
        <v>150</v>
      </c>
      <c r="B81" s="10" t="s">
        <v>305</v>
      </c>
      <c r="D81" s="9" t="s">
        <v>276</v>
      </c>
      <c r="E81" s="10" t="s">
        <v>438</v>
      </c>
    </row>
    <row r="82" spans="1:5" x14ac:dyDescent="0.2">
      <c r="A82" s="14" t="s">
        <v>152</v>
      </c>
      <c r="B82" s="10" t="s">
        <v>438</v>
      </c>
      <c r="D82" s="14" t="s">
        <v>279</v>
      </c>
      <c r="E82" s="10" t="s">
        <v>438</v>
      </c>
    </row>
    <row r="83" spans="1:5" x14ac:dyDescent="0.2">
      <c r="A83" s="9" t="s">
        <v>152</v>
      </c>
      <c r="B83" s="10" t="s">
        <v>305</v>
      </c>
      <c r="D83" s="9" t="s">
        <v>281</v>
      </c>
      <c r="E83" s="10" t="s">
        <v>438</v>
      </c>
    </row>
    <row r="84" spans="1:5" x14ac:dyDescent="0.2">
      <c r="A84" s="9" t="s">
        <v>155</v>
      </c>
      <c r="B84" s="10" t="s">
        <v>438</v>
      </c>
      <c r="D84" s="14" t="s">
        <v>283</v>
      </c>
      <c r="E84" s="10" t="s">
        <v>438</v>
      </c>
    </row>
    <row r="85" spans="1:5" x14ac:dyDescent="0.2">
      <c r="A85" s="14" t="s">
        <v>155</v>
      </c>
      <c r="B85" s="10" t="s">
        <v>305</v>
      </c>
      <c r="D85" s="9" t="s">
        <v>285</v>
      </c>
      <c r="E85" s="10" t="s">
        <v>438</v>
      </c>
    </row>
    <row r="86" spans="1:5" x14ac:dyDescent="0.2">
      <c r="A86" s="14" t="s">
        <v>158</v>
      </c>
      <c r="B86" s="10" t="s">
        <v>438</v>
      </c>
      <c r="D86" s="14" t="s">
        <v>286</v>
      </c>
      <c r="E86" s="10" t="s">
        <v>438</v>
      </c>
    </row>
    <row r="87" spans="1:5" x14ac:dyDescent="0.2">
      <c r="A87" s="9" t="s">
        <v>158</v>
      </c>
      <c r="B87" s="10" t="s">
        <v>305</v>
      </c>
      <c r="D87" s="9" t="s">
        <v>287</v>
      </c>
      <c r="E87" s="10" t="s">
        <v>438</v>
      </c>
    </row>
    <row r="88" spans="1:5" x14ac:dyDescent="0.2">
      <c r="A88" s="9" t="s">
        <v>160</v>
      </c>
      <c r="B88" s="10" t="s">
        <v>438</v>
      </c>
      <c r="D88" s="14" t="s">
        <v>290</v>
      </c>
      <c r="E88" s="10" t="s">
        <v>438</v>
      </c>
    </row>
    <row r="89" spans="1:5" x14ac:dyDescent="0.2">
      <c r="A89" s="14" t="s">
        <v>160</v>
      </c>
      <c r="B89" s="10" t="s">
        <v>305</v>
      </c>
      <c r="D89" s="9" t="s">
        <v>291</v>
      </c>
      <c r="E89" s="10" t="s">
        <v>438</v>
      </c>
    </row>
    <row r="90" spans="1:5" x14ac:dyDescent="0.2">
      <c r="A90" s="14" t="s">
        <v>163</v>
      </c>
      <c r="B90" s="10" t="s">
        <v>438</v>
      </c>
      <c r="D90" s="14" t="s">
        <v>292</v>
      </c>
      <c r="E90" s="10" t="s">
        <v>438</v>
      </c>
    </row>
    <row r="91" spans="1:5" x14ac:dyDescent="0.2">
      <c r="A91" s="9" t="s">
        <v>163</v>
      </c>
      <c r="B91" s="10" t="s">
        <v>305</v>
      </c>
      <c r="D91" s="9" t="s">
        <v>294</v>
      </c>
      <c r="E91" s="10" t="s">
        <v>438</v>
      </c>
    </row>
    <row r="92" spans="1:5" x14ac:dyDescent="0.2">
      <c r="A92" s="9" t="s">
        <v>166</v>
      </c>
      <c r="B92" s="10" t="s">
        <v>438</v>
      </c>
      <c r="D92" s="14" t="s">
        <v>296</v>
      </c>
      <c r="E92" s="10" t="s">
        <v>438</v>
      </c>
    </row>
    <row r="93" spans="1:5" x14ac:dyDescent="0.2">
      <c r="A93" s="14" t="s">
        <v>166</v>
      </c>
      <c r="B93" s="10" t="s">
        <v>305</v>
      </c>
      <c r="D93" s="9" t="s">
        <v>298</v>
      </c>
      <c r="E93" s="10" t="s">
        <v>438</v>
      </c>
    </row>
    <row r="94" spans="1:5" x14ac:dyDescent="0.2">
      <c r="A94" s="14" t="s">
        <v>168</v>
      </c>
      <c r="B94" s="10" t="s">
        <v>438</v>
      </c>
      <c r="D94" s="14" t="s">
        <v>301</v>
      </c>
      <c r="E94" s="10" t="s">
        <v>438</v>
      </c>
    </row>
    <row r="95" spans="1:5" x14ac:dyDescent="0.2">
      <c r="A95" s="9" t="s">
        <v>168</v>
      </c>
      <c r="B95" s="10" t="s">
        <v>305</v>
      </c>
      <c r="D95" s="9" t="s">
        <v>304</v>
      </c>
      <c r="E95" s="10" t="s">
        <v>438</v>
      </c>
    </row>
    <row r="96" spans="1:5" x14ac:dyDescent="0.2">
      <c r="A96" s="9" t="s">
        <v>171</v>
      </c>
      <c r="B96" s="10" t="s">
        <v>438</v>
      </c>
      <c r="D96" s="14">
        <v>2023</v>
      </c>
      <c r="E96" s="10" t="s">
        <v>438</v>
      </c>
    </row>
    <row r="97" spans="1:5" x14ac:dyDescent="0.2">
      <c r="A97" s="14" t="s">
        <v>171</v>
      </c>
      <c r="B97" s="10" t="s">
        <v>305</v>
      </c>
      <c r="D97" s="9">
        <v>2024</v>
      </c>
      <c r="E97" s="10" t="s">
        <v>438</v>
      </c>
    </row>
    <row r="98" spans="1:5" x14ac:dyDescent="0.2">
      <c r="A98" s="14" t="s">
        <v>173</v>
      </c>
      <c r="B98" s="10" t="s">
        <v>438</v>
      </c>
      <c r="D98" s="21" t="s">
        <v>566</v>
      </c>
      <c r="E98" s="15" t="s">
        <v>438</v>
      </c>
    </row>
    <row r="99" spans="1:5" x14ac:dyDescent="0.2">
      <c r="A99" s="9" t="s">
        <v>173</v>
      </c>
      <c r="B99" s="10" t="s">
        <v>305</v>
      </c>
      <c r="D99" s="9" t="s">
        <v>440</v>
      </c>
      <c r="E99" s="10" t="s">
        <v>438</v>
      </c>
    </row>
    <row r="100" spans="1:5" x14ac:dyDescent="0.2">
      <c r="A100" s="9" t="s">
        <v>176</v>
      </c>
      <c r="B100" s="10" t="s">
        <v>438</v>
      </c>
      <c r="D100" s="14" t="s">
        <v>439</v>
      </c>
      <c r="E100" s="10" t="s">
        <v>438</v>
      </c>
    </row>
    <row r="101" spans="1:5" x14ac:dyDescent="0.2">
      <c r="A101" s="14" t="s">
        <v>176</v>
      </c>
      <c r="B101" s="10" t="s">
        <v>305</v>
      </c>
    </row>
    <row r="102" spans="1:5" x14ac:dyDescent="0.2">
      <c r="A102" s="14" t="s">
        <v>179</v>
      </c>
      <c r="B102" s="10" t="s">
        <v>438</v>
      </c>
    </row>
    <row r="103" spans="1:5" x14ac:dyDescent="0.2">
      <c r="A103" s="9" t="s">
        <v>179</v>
      </c>
      <c r="B103" s="10" t="s">
        <v>305</v>
      </c>
    </row>
    <row r="104" spans="1:5" x14ac:dyDescent="0.2">
      <c r="A104" s="9" t="s">
        <v>182</v>
      </c>
      <c r="B104" s="10" t="s">
        <v>438</v>
      </c>
    </row>
    <row r="105" spans="1:5" x14ac:dyDescent="0.2">
      <c r="A105" s="14" t="s">
        <v>182</v>
      </c>
      <c r="B105" s="10" t="s">
        <v>305</v>
      </c>
    </row>
    <row r="106" spans="1:5" x14ac:dyDescent="0.2">
      <c r="A106" s="14" t="s">
        <v>184</v>
      </c>
      <c r="B106" s="10" t="s">
        <v>438</v>
      </c>
    </row>
    <row r="107" spans="1:5" x14ac:dyDescent="0.2">
      <c r="A107" s="9" t="s">
        <v>184</v>
      </c>
      <c r="B107" s="10" t="s">
        <v>305</v>
      </c>
    </row>
    <row r="108" spans="1:5" x14ac:dyDescent="0.2">
      <c r="A108" s="9" t="s">
        <v>185</v>
      </c>
      <c r="B108" s="10" t="s">
        <v>438</v>
      </c>
    </row>
    <row r="109" spans="1:5" x14ac:dyDescent="0.2">
      <c r="A109" s="14" t="s">
        <v>185</v>
      </c>
      <c r="B109" s="10" t="s">
        <v>305</v>
      </c>
    </row>
    <row r="110" spans="1:5" x14ac:dyDescent="0.2">
      <c r="A110" s="14" t="s">
        <v>189</v>
      </c>
      <c r="B110" s="10" t="s">
        <v>438</v>
      </c>
    </row>
    <row r="111" spans="1:5" x14ac:dyDescent="0.2">
      <c r="A111" s="9" t="s">
        <v>189</v>
      </c>
      <c r="B111" s="10" t="s">
        <v>305</v>
      </c>
    </row>
    <row r="112" spans="1:5" x14ac:dyDescent="0.2">
      <c r="A112" s="9" t="s">
        <v>192</v>
      </c>
      <c r="B112" s="10" t="s">
        <v>438</v>
      </c>
    </row>
    <row r="113" spans="1:2" x14ac:dyDescent="0.2">
      <c r="A113" s="14" t="s">
        <v>192</v>
      </c>
      <c r="B113" s="10" t="s">
        <v>305</v>
      </c>
    </row>
    <row r="114" spans="1:2" x14ac:dyDescent="0.2">
      <c r="A114" s="14" t="s">
        <v>193</v>
      </c>
      <c r="B114" s="10" t="s">
        <v>438</v>
      </c>
    </row>
    <row r="115" spans="1:2" x14ac:dyDescent="0.2">
      <c r="A115" s="9" t="s">
        <v>193</v>
      </c>
      <c r="B115" s="10" t="s">
        <v>305</v>
      </c>
    </row>
    <row r="116" spans="1:2" x14ac:dyDescent="0.2">
      <c r="A116" s="9" t="s">
        <v>201</v>
      </c>
      <c r="B116" s="10" t="s">
        <v>438</v>
      </c>
    </row>
    <row r="117" spans="1:2" x14ac:dyDescent="0.2">
      <c r="A117" s="14" t="s">
        <v>201</v>
      </c>
      <c r="B117" s="10" t="s">
        <v>305</v>
      </c>
    </row>
    <row r="118" spans="1:2" x14ac:dyDescent="0.2">
      <c r="A118" s="14" t="s">
        <v>204</v>
      </c>
      <c r="B118" s="10" t="s">
        <v>438</v>
      </c>
    </row>
    <row r="119" spans="1:2" x14ac:dyDescent="0.2">
      <c r="A119" s="9" t="s">
        <v>204</v>
      </c>
      <c r="B119" s="10" t="s">
        <v>305</v>
      </c>
    </row>
    <row r="120" spans="1:2" x14ac:dyDescent="0.2">
      <c r="A120" s="9" t="s">
        <v>206</v>
      </c>
      <c r="B120" s="10" t="s">
        <v>438</v>
      </c>
    </row>
    <row r="121" spans="1:2" x14ac:dyDescent="0.2">
      <c r="A121" s="14" t="s">
        <v>206</v>
      </c>
      <c r="B121" s="10" t="s">
        <v>305</v>
      </c>
    </row>
    <row r="122" spans="1:2" x14ac:dyDescent="0.2">
      <c r="A122" s="14" t="s">
        <v>209</v>
      </c>
      <c r="B122" s="10" t="s">
        <v>438</v>
      </c>
    </row>
    <row r="123" spans="1:2" x14ac:dyDescent="0.2">
      <c r="A123" s="9" t="s">
        <v>209</v>
      </c>
      <c r="B123" s="10" t="s">
        <v>305</v>
      </c>
    </row>
    <row r="124" spans="1:2" x14ac:dyDescent="0.2">
      <c r="A124" s="9" t="s">
        <v>212</v>
      </c>
      <c r="B124" s="10" t="s">
        <v>438</v>
      </c>
    </row>
    <row r="125" spans="1:2" x14ac:dyDescent="0.2">
      <c r="A125" s="14" t="s">
        <v>212</v>
      </c>
      <c r="B125" s="10" t="s">
        <v>305</v>
      </c>
    </row>
    <row r="126" spans="1:2" x14ac:dyDescent="0.2">
      <c r="A126" s="14" t="s">
        <v>214</v>
      </c>
      <c r="B126" s="10" t="s">
        <v>438</v>
      </c>
    </row>
    <row r="127" spans="1:2" x14ac:dyDescent="0.2">
      <c r="A127" s="9" t="s">
        <v>214</v>
      </c>
      <c r="B127" s="10" t="s">
        <v>305</v>
      </c>
    </row>
    <row r="128" spans="1:2" x14ac:dyDescent="0.2">
      <c r="A128" s="9" t="s">
        <v>218</v>
      </c>
      <c r="B128" s="10" t="s">
        <v>438</v>
      </c>
    </row>
    <row r="129" spans="1:2" x14ac:dyDescent="0.2">
      <c r="A129" s="14" t="s">
        <v>218</v>
      </c>
      <c r="B129" s="10" t="s">
        <v>305</v>
      </c>
    </row>
    <row r="130" spans="1:2" x14ac:dyDescent="0.2">
      <c r="A130" s="14" t="s">
        <v>220</v>
      </c>
      <c r="B130" s="10" t="s">
        <v>438</v>
      </c>
    </row>
    <row r="131" spans="1:2" x14ac:dyDescent="0.2">
      <c r="A131" s="9" t="s">
        <v>220</v>
      </c>
      <c r="B131" s="10" t="s">
        <v>305</v>
      </c>
    </row>
    <row r="132" spans="1:2" x14ac:dyDescent="0.2">
      <c r="A132" s="14" t="s">
        <v>223</v>
      </c>
      <c r="B132" s="10" t="s">
        <v>438</v>
      </c>
    </row>
    <row r="133" spans="1:2" x14ac:dyDescent="0.2">
      <c r="A133" s="14" t="s">
        <v>223</v>
      </c>
      <c r="B133" s="10" t="s">
        <v>305</v>
      </c>
    </row>
    <row r="134" spans="1:2" x14ac:dyDescent="0.2">
      <c r="A134" s="9" t="s">
        <v>225</v>
      </c>
      <c r="B134" s="10" t="s">
        <v>438</v>
      </c>
    </row>
    <row r="135" spans="1:2" x14ac:dyDescent="0.2">
      <c r="A135" s="9" t="s">
        <v>225</v>
      </c>
      <c r="B135" s="10" t="s">
        <v>305</v>
      </c>
    </row>
    <row r="136" spans="1:2" x14ac:dyDescent="0.2">
      <c r="A136" s="14" t="s">
        <v>226</v>
      </c>
      <c r="B136" s="10" t="s">
        <v>438</v>
      </c>
    </row>
    <row r="137" spans="1:2" x14ac:dyDescent="0.2">
      <c r="A137" s="14" t="s">
        <v>226</v>
      </c>
      <c r="B137" s="10" t="s">
        <v>305</v>
      </c>
    </row>
    <row r="138" spans="1:2" x14ac:dyDescent="0.2">
      <c r="A138" s="9" t="s">
        <v>229</v>
      </c>
      <c r="B138" s="10" t="s">
        <v>438</v>
      </c>
    </row>
    <row r="139" spans="1:2" x14ac:dyDescent="0.2">
      <c r="A139" s="9" t="s">
        <v>229</v>
      </c>
      <c r="B139" s="10" t="s">
        <v>305</v>
      </c>
    </row>
    <row r="140" spans="1:2" x14ac:dyDescent="0.2">
      <c r="A140" s="14" t="s">
        <v>230</v>
      </c>
      <c r="B140" s="10" t="s">
        <v>438</v>
      </c>
    </row>
    <row r="141" spans="1:2" x14ac:dyDescent="0.2">
      <c r="A141" s="14" t="s">
        <v>230</v>
      </c>
      <c r="B141" s="10" t="s">
        <v>305</v>
      </c>
    </row>
    <row r="142" spans="1:2" x14ac:dyDescent="0.2">
      <c r="A142" s="9" t="s">
        <v>233</v>
      </c>
      <c r="B142" s="10" t="s">
        <v>438</v>
      </c>
    </row>
    <row r="143" spans="1:2" x14ac:dyDescent="0.2">
      <c r="A143" s="9" t="s">
        <v>233</v>
      </c>
      <c r="B143" s="10" t="s">
        <v>305</v>
      </c>
    </row>
    <row r="144" spans="1:2" x14ac:dyDescent="0.2">
      <c r="A144" s="14" t="s">
        <v>236</v>
      </c>
      <c r="B144" s="10" t="s">
        <v>438</v>
      </c>
    </row>
    <row r="145" spans="1:2" x14ac:dyDescent="0.2">
      <c r="A145" s="14" t="s">
        <v>236</v>
      </c>
      <c r="B145" s="10" t="s">
        <v>305</v>
      </c>
    </row>
    <row r="146" spans="1:2" x14ac:dyDescent="0.2">
      <c r="A146" s="9" t="s">
        <v>238</v>
      </c>
      <c r="B146" s="10" t="s">
        <v>438</v>
      </c>
    </row>
    <row r="147" spans="1:2" x14ac:dyDescent="0.2">
      <c r="A147" s="9" t="s">
        <v>238</v>
      </c>
      <c r="B147" s="10" t="s">
        <v>305</v>
      </c>
    </row>
    <row r="148" spans="1:2" x14ac:dyDescent="0.2">
      <c r="A148" s="14" t="s">
        <v>241</v>
      </c>
      <c r="B148" s="10" t="s">
        <v>438</v>
      </c>
    </row>
    <row r="149" spans="1:2" x14ac:dyDescent="0.2">
      <c r="A149" s="14" t="s">
        <v>241</v>
      </c>
      <c r="B149" s="10" t="s">
        <v>305</v>
      </c>
    </row>
    <row r="150" spans="1:2" x14ac:dyDescent="0.2">
      <c r="A150" s="9" t="s">
        <v>243</v>
      </c>
      <c r="B150" s="10" t="s">
        <v>438</v>
      </c>
    </row>
    <row r="151" spans="1:2" x14ac:dyDescent="0.2">
      <c r="A151" s="9" t="s">
        <v>243</v>
      </c>
      <c r="B151" s="10" t="s">
        <v>305</v>
      </c>
    </row>
    <row r="152" spans="1:2" x14ac:dyDescent="0.2">
      <c r="A152" s="14" t="s">
        <v>246</v>
      </c>
      <c r="B152" s="10" t="s">
        <v>438</v>
      </c>
    </row>
    <row r="153" spans="1:2" x14ac:dyDescent="0.2">
      <c r="A153" s="14" t="s">
        <v>246</v>
      </c>
      <c r="B153" s="10" t="s">
        <v>305</v>
      </c>
    </row>
    <row r="154" spans="1:2" x14ac:dyDescent="0.2">
      <c r="A154" s="9" t="s">
        <v>249</v>
      </c>
      <c r="B154" s="10" t="s">
        <v>438</v>
      </c>
    </row>
    <row r="155" spans="1:2" x14ac:dyDescent="0.2">
      <c r="A155" s="9" t="s">
        <v>249</v>
      </c>
      <c r="B155" s="10" t="s">
        <v>305</v>
      </c>
    </row>
    <row r="156" spans="1:2" x14ac:dyDescent="0.2">
      <c r="A156" s="14" t="s">
        <v>252</v>
      </c>
      <c r="B156" s="10" t="s">
        <v>438</v>
      </c>
    </row>
    <row r="157" spans="1:2" x14ac:dyDescent="0.2">
      <c r="A157" s="14" t="s">
        <v>252</v>
      </c>
      <c r="B157" s="10" t="s">
        <v>305</v>
      </c>
    </row>
    <row r="158" spans="1:2" x14ac:dyDescent="0.2">
      <c r="A158" s="9" t="s">
        <v>255</v>
      </c>
      <c r="B158" s="10" t="s">
        <v>438</v>
      </c>
    </row>
    <row r="159" spans="1:2" x14ac:dyDescent="0.2">
      <c r="A159" s="9" t="s">
        <v>255</v>
      </c>
      <c r="B159" s="10" t="s">
        <v>305</v>
      </c>
    </row>
    <row r="160" spans="1:2" x14ac:dyDescent="0.2">
      <c r="A160" s="14" t="s">
        <v>257</v>
      </c>
      <c r="B160" s="10" t="s">
        <v>438</v>
      </c>
    </row>
    <row r="161" spans="1:2" x14ac:dyDescent="0.2">
      <c r="A161" s="14" t="s">
        <v>257</v>
      </c>
      <c r="B161" s="10" t="s">
        <v>305</v>
      </c>
    </row>
    <row r="162" spans="1:2" x14ac:dyDescent="0.2">
      <c r="A162" s="9" t="s">
        <v>260</v>
      </c>
      <c r="B162" s="10" t="s">
        <v>438</v>
      </c>
    </row>
    <row r="163" spans="1:2" x14ac:dyDescent="0.2">
      <c r="A163" s="9" t="s">
        <v>260</v>
      </c>
      <c r="B163" s="10" t="s">
        <v>305</v>
      </c>
    </row>
    <row r="164" spans="1:2" x14ac:dyDescent="0.2">
      <c r="A164" s="14" t="s">
        <v>263</v>
      </c>
      <c r="B164" s="10" t="s">
        <v>438</v>
      </c>
    </row>
    <row r="165" spans="1:2" x14ac:dyDescent="0.2">
      <c r="A165" s="14" t="s">
        <v>263</v>
      </c>
      <c r="B165" s="10" t="s">
        <v>305</v>
      </c>
    </row>
    <row r="166" spans="1:2" x14ac:dyDescent="0.2">
      <c r="A166" s="9" t="s">
        <v>266</v>
      </c>
      <c r="B166" s="10" t="s">
        <v>438</v>
      </c>
    </row>
    <row r="167" spans="1:2" x14ac:dyDescent="0.2">
      <c r="A167" s="9" t="s">
        <v>266</v>
      </c>
      <c r="B167" s="10" t="s">
        <v>305</v>
      </c>
    </row>
    <row r="168" spans="1:2" x14ac:dyDescent="0.2">
      <c r="A168" s="14" t="s">
        <v>268</v>
      </c>
      <c r="B168" s="10" t="s">
        <v>438</v>
      </c>
    </row>
    <row r="169" spans="1:2" x14ac:dyDescent="0.2">
      <c r="A169" s="14" t="s">
        <v>268</v>
      </c>
      <c r="B169" s="10" t="s">
        <v>305</v>
      </c>
    </row>
    <row r="170" spans="1:2" x14ac:dyDescent="0.2">
      <c r="A170" s="9" t="s">
        <v>271</v>
      </c>
      <c r="B170" s="10" t="s">
        <v>438</v>
      </c>
    </row>
    <row r="171" spans="1:2" x14ac:dyDescent="0.2">
      <c r="A171" s="9" t="s">
        <v>271</v>
      </c>
      <c r="B171" s="10" t="s">
        <v>305</v>
      </c>
    </row>
    <row r="172" spans="1:2" x14ac:dyDescent="0.2">
      <c r="A172" s="14" t="s">
        <v>274</v>
      </c>
      <c r="B172" s="10" t="s">
        <v>438</v>
      </c>
    </row>
    <row r="173" spans="1:2" x14ac:dyDescent="0.2">
      <c r="A173" s="14" t="s">
        <v>274</v>
      </c>
      <c r="B173" s="10" t="s">
        <v>305</v>
      </c>
    </row>
    <row r="174" spans="1:2" x14ac:dyDescent="0.2">
      <c r="A174" s="9" t="s">
        <v>276</v>
      </c>
      <c r="B174" s="10" t="s">
        <v>438</v>
      </c>
    </row>
    <row r="175" spans="1:2" x14ac:dyDescent="0.2">
      <c r="A175" s="9" t="s">
        <v>276</v>
      </c>
      <c r="B175" s="10" t="s">
        <v>305</v>
      </c>
    </row>
    <row r="176" spans="1:2" x14ac:dyDescent="0.2">
      <c r="A176" s="14" t="s">
        <v>279</v>
      </c>
      <c r="B176" s="10" t="s">
        <v>438</v>
      </c>
    </row>
    <row r="177" spans="1:2" x14ac:dyDescent="0.2">
      <c r="A177" s="14" t="s">
        <v>279</v>
      </c>
      <c r="B177" s="10" t="s">
        <v>305</v>
      </c>
    </row>
    <row r="178" spans="1:2" x14ac:dyDescent="0.2">
      <c r="A178" s="9" t="s">
        <v>281</v>
      </c>
      <c r="B178" s="10" t="s">
        <v>438</v>
      </c>
    </row>
    <row r="179" spans="1:2" x14ac:dyDescent="0.2">
      <c r="A179" s="9" t="s">
        <v>281</v>
      </c>
      <c r="B179" s="10" t="s">
        <v>305</v>
      </c>
    </row>
    <row r="180" spans="1:2" x14ac:dyDescent="0.2">
      <c r="A180" s="14" t="s">
        <v>283</v>
      </c>
      <c r="B180" s="10" t="s">
        <v>438</v>
      </c>
    </row>
    <row r="181" spans="1:2" x14ac:dyDescent="0.2">
      <c r="A181" s="14" t="s">
        <v>283</v>
      </c>
      <c r="B181" s="10" t="s">
        <v>305</v>
      </c>
    </row>
    <row r="182" spans="1:2" x14ac:dyDescent="0.2">
      <c r="A182" s="9" t="s">
        <v>285</v>
      </c>
      <c r="B182" s="10" t="s">
        <v>438</v>
      </c>
    </row>
    <row r="183" spans="1:2" x14ac:dyDescent="0.2">
      <c r="A183" s="9" t="s">
        <v>285</v>
      </c>
      <c r="B183" s="10" t="s">
        <v>305</v>
      </c>
    </row>
    <row r="184" spans="1:2" x14ac:dyDescent="0.2">
      <c r="A184" s="14" t="s">
        <v>286</v>
      </c>
      <c r="B184" s="10" t="s">
        <v>438</v>
      </c>
    </row>
    <row r="185" spans="1:2" x14ac:dyDescent="0.2">
      <c r="A185" s="14" t="s">
        <v>286</v>
      </c>
      <c r="B185" s="10" t="s">
        <v>305</v>
      </c>
    </row>
    <row r="186" spans="1:2" x14ac:dyDescent="0.2">
      <c r="A186" s="9" t="s">
        <v>287</v>
      </c>
      <c r="B186" s="10" t="s">
        <v>438</v>
      </c>
    </row>
    <row r="187" spans="1:2" x14ac:dyDescent="0.2">
      <c r="A187" s="9" t="s">
        <v>287</v>
      </c>
      <c r="B187" s="10" t="s">
        <v>305</v>
      </c>
    </row>
    <row r="188" spans="1:2" x14ac:dyDescent="0.2">
      <c r="A188" s="14" t="s">
        <v>290</v>
      </c>
      <c r="B188" s="10" t="s">
        <v>438</v>
      </c>
    </row>
    <row r="189" spans="1:2" x14ac:dyDescent="0.2">
      <c r="A189" s="14" t="s">
        <v>290</v>
      </c>
      <c r="B189" s="10" t="s">
        <v>305</v>
      </c>
    </row>
    <row r="190" spans="1:2" x14ac:dyDescent="0.2">
      <c r="A190" s="9" t="s">
        <v>291</v>
      </c>
      <c r="B190" s="10" t="s">
        <v>438</v>
      </c>
    </row>
    <row r="191" spans="1:2" x14ac:dyDescent="0.2">
      <c r="A191" s="9" t="s">
        <v>291</v>
      </c>
      <c r="B191" s="10" t="s">
        <v>305</v>
      </c>
    </row>
    <row r="192" spans="1:2" x14ac:dyDescent="0.2">
      <c r="A192" s="14" t="s">
        <v>292</v>
      </c>
      <c r="B192" s="10" t="s">
        <v>438</v>
      </c>
    </row>
    <row r="193" spans="1:2" x14ac:dyDescent="0.2">
      <c r="A193" s="14" t="s">
        <v>292</v>
      </c>
      <c r="B193" s="10" t="s">
        <v>305</v>
      </c>
    </row>
    <row r="194" spans="1:2" x14ac:dyDescent="0.2">
      <c r="A194" s="9" t="s">
        <v>294</v>
      </c>
      <c r="B194" s="10" t="s">
        <v>438</v>
      </c>
    </row>
    <row r="195" spans="1:2" x14ac:dyDescent="0.2">
      <c r="A195" s="9" t="s">
        <v>294</v>
      </c>
      <c r="B195" s="10" t="s">
        <v>305</v>
      </c>
    </row>
    <row r="196" spans="1:2" x14ac:dyDescent="0.2">
      <c r="A196" s="14" t="s">
        <v>296</v>
      </c>
      <c r="B196" s="10" t="s">
        <v>438</v>
      </c>
    </row>
    <row r="197" spans="1:2" x14ac:dyDescent="0.2">
      <c r="A197" s="14" t="s">
        <v>296</v>
      </c>
      <c r="B197" s="10" t="s">
        <v>305</v>
      </c>
    </row>
    <row r="198" spans="1:2" x14ac:dyDescent="0.2">
      <c r="A198" s="9" t="s">
        <v>298</v>
      </c>
      <c r="B198" s="10" t="s">
        <v>438</v>
      </c>
    </row>
    <row r="199" spans="1:2" x14ac:dyDescent="0.2">
      <c r="A199" s="9" t="s">
        <v>298</v>
      </c>
      <c r="B199" s="10" t="s">
        <v>305</v>
      </c>
    </row>
    <row r="200" spans="1:2" x14ac:dyDescent="0.2">
      <c r="A200" s="14" t="s">
        <v>301</v>
      </c>
      <c r="B200" s="10" t="s">
        <v>438</v>
      </c>
    </row>
    <row r="201" spans="1:2" x14ac:dyDescent="0.2">
      <c r="A201" s="14" t="s">
        <v>301</v>
      </c>
      <c r="B201" s="10" t="s">
        <v>305</v>
      </c>
    </row>
    <row r="202" spans="1:2" x14ac:dyDescent="0.2">
      <c r="A202" s="9" t="s">
        <v>304</v>
      </c>
      <c r="B202" s="10" t="s">
        <v>438</v>
      </c>
    </row>
    <row r="203" spans="1:2" x14ac:dyDescent="0.2">
      <c r="A203" s="9" t="s">
        <v>304</v>
      </c>
      <c r="B203" s="10" t="s">
        <v>305</v>
      </c>
    </row>
    <row r="204" spans="1:2" x14ac:dyDescent="0.2">
      <c r="A204" s="14">
        <v>2023</v>
      </c>
      <c r="B204" s="10" t="s">
        <v>438</v>
      </c>
    </row>
    <row r="205" spans="1:2" x14ac:dyDescent="0.2">
      <c r="A205" s="14">
        <v>2023</v>
      </c>
      <c r="B205" s="10" t="s">
        <v>305</v>
      </c>
    </row>
    <row r="206" spans="1:2" x14ac:dyDescent="0.2">
      <c r="A206" s="9">
        <v>2024</v>
      </c>
      <c r="B206" s="10" t="s">
        <v>438</v>
      </c>
    </row>
    <row r="207" spans="1:2" x14ac:dyDescent="0.2">
      <c r="A207" s="9">
        <v>2024</v>
      </c>
      <c r="B207" s="10" t="s">
        <v>305</v>
      </c>
    </row>
    <row r="208" spans="1:2" x14ac:dyDescent="0.2">
      <c r="A208" s="21" t="s">
        <v>566</v>
      </c>
      <c r="B208" s="15" t="s">
        <v>438</v>
      </c>
    </row>
    <row r="209" spans="1:2" x14ac:dyDescent="0.2">
      <c r="A209" s="21" t="s">
        <v>566</v>
      </c>
      <c r="B209" s="15" t="s">
        <v>305</v>
      </c>
    </row>
    <row r="210" spans="1:2" x14ac:dyDescent="0.2">
      <c r="A210" s="9" t="s">
        <v>440</v>
      </c>
      <c r="B210" s="10" t="s">
        <v>438</v>
      </c>
    </row>
    <row r="211" spans="1:2" x14ac:dyDescent="0.2">
      <c r="A211" s="14" t="s">
        <v>440</v>
      </c>
      <c r="B211" s="10" t="s">
        <v>305</v>
      </c>
    </row>
    <row r="212" spans="1:2" x14ac:dyDescent="0.2">
      <c r="A212" s="14" t="s">
        <v>439</v>
      </c>
      <c r="B212" s="10" t="s">
        <v>438</v>
      </c>
    </row>
    <row r="213" spans="1:2" x14ac:dyDescent="0.2">
      <c r="A213" s="9" t="s">
        <v>439</v>
      </c>
      <c r="B213" s="10" t="s">
        <v>305</v>
      </c>
    </row>
  </sheetData>
  <sortState xmlns:xlrd2="http://schemas.microsoft.com/office/spreadsheetml/2017/richdata2" ref="A2:B217">
    <sortCondition ref="A1:A2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A226-16A5-BB48-9976-83930717A16F}">
  <dimension ref="A1:D213"/>
  <sheetViews>
    <sheetView topLeftCell="A2" workbookViewId="0">
      <selection activeCell="H197" sqref="H197"/>
    </sheetView>
  </sheetViews>
  <sheetFormatPr baseColWidth="10" defaultRowHeight="15" x14ac:dyDescent="0.2"/>
  <cols>
    <col min="2" max="2" width="8.1640625" bestFit="1" customWidth="1"/>
    <col min="3" max="3" width="9.33203125" bestFit="1" customWidth="1"/>
    <col min="4" max="4" width="20.83203125" bestFit="1" customWidth="1"/>
  </cols>
  <sheetData>
    <row r="1" spans="1:4" x14ac:dyDescent="0.2">
      <c r="A1" s="20" t="s">
        <v>561</v>
      </c>
      <c r="B1" s="3" t="s">
        <v>0</v>
      </c>
      <c r="C1" s="5" t="s">
        <v>1</v>
      </c>
      <c r="D1" s="5" t="s">
        <v>2</v>
      </c>
    </row>
    <row r="2" spans="1:4" x14ac:dyDescent="0.2">
      <c r="A2" s="16">
        <v>1</v>
      </c>
      <c r="B2" s="14" t="s">
        <v>439</v>
      </c>
      <c r="C2" s="10" t="s">
        <v>438</v>
      </c>
      <c r="D2" s="10" t="s">
        <v>373</v>
      </c>
    </row>
    <row r="3" spans="1:4" x14ac:dyDescent="0.2">
      <c r="A3" s="13">
        <v>1</v>
      </c>
      <c r="B3" s="9" t="s">
        <v>439</v>
      </c>
      <c r="C3" s="10" t="s">
        <v>305</v>
      </c>
      <c r="D3" s="11" t="s">
        <v>199</v>
      </c>
    </row>
    <row r="4" spans="1:4" x14ac:dyDescent="0.2">
      <c r="A4" s="13">
        <v>2</v>
      </c>
      <c r="B4" s="9" t="s">
        <v>440</v>
      </c>
      <c r="C4" s="10" t="s">
        <v>438</v>
      </c>
      <c r="D4" s="11" t="s">
        <v>378</v>
      </c>
    </row>
    <row r="5" spans="1:4" x14ac:dyDescent="0.2">
      <c r="A5" s="16">
        <v>2</v>
      </c>
      <c r="B5" s="14" t="s">
        <v>440</v>
      </c>
      <c r="C5" s="10" t="s">
        <v>305</v>
      </c>
      <c r="D5" s="10" t="s">
        <v>196</v>
      </c>
    </row>
    <row r="6" spans="1:4" x14ac:dyDescent="0.2">
      <c r="A6" s="16">
        <v>19</v>
      </c>
      <c r="B6" s="21" t="s">
        <v>566</v>
      </c>
      <c r="C6" s="15" t="s">
        <v>438</v>
      </c>
      <c r="D6" s="15" t="s">
        <v>569</v>
      </c>
    </row>
    <row r="7" spans="1:4" x14ac:dyDescent="0.2">
      <c r="A7" s="16">
        <v>1</v>
      </c>
      <c r="B7" s="21" t="s">
        <v>566</v>
      </c>
      <c r="C7" s="15" t="s">
        <v>305</v>
      </c>
      <c r="D7" s="15" t="s">
        <v>565</v>
      </c>
    </row>
    <row r="8" spans="1:4" x14ac:dyDescent="0.2">
      <c r="A8" s="13">
        <v>2</v>
      </c>
      <c r="B8" s="9">
        <v>2024</v>
      </c>
      <c r="C8" s="10" t="s">
        <v>438</v>
      </c>
      <c r="D8" s="11" t="s">
        <v>547</v>
      </c>
    </row>
    <row r="9" spans="1:4" x14ac:dyDescent="0.2">
      <c r="A9" s="13">
        <v>4</v>
      </c>
      <c r="B9" s="9">
        <v>2024</v>
      </c>
      <c r="C9" s="10" t="s">
        <v>305</v>
      </c>
      <c r="D9" s="11" t="s">
        <v>565</v>
      </c>
    </row>
    <row r="10" spans="1:4" x14ac:dyDescent="0.2">
      <c r="A10" s="16">
        <v>5</v>
      </c>
      <c r="B10" s="14">
        <v>2023</v>
      </c>
      <c r="C10" s="10" t="s">
        <v>438</v>
      </c>
      <c r="D10" s="15" t="s">
        <v>547</v>
      </c>
    </row>
    <row r="11" spans="1:4" x14ac:dyDescent="0.2">
      <c r="A11" s="16">
        <v>4</v>
      </c>
      <c r="B11" s="14">
        <v>2023</v>
      </c>
      <c r="C11" s="10" t="s">
        <v>305</v>
      </c>
      <c r="D11" s="10" t="s">
        <v>277</v>
      </c>
    </row>
    <row r="12" spans="1:4" x14ac:dyDescent="0.2">
      <c r="A12" s="13">
        <v>1</v>
      </c>
      <c r="B12" s="9" t="s">
        <v>304</v>
      </c>
      <c r="C12" s="10" t="s">
        <v>438</v>
      </c>
      <c r="D12" s="11" t="s">
        <v>436</v>
      </c>
    </row>
    <row r="13" spans="1:4" x14ac:dyDescent="0.2">
      <c r="A13" s="13">
        <v>2</v>
      </c>
      <c r="B13" s="9" t="s">
        <v>304</v>
      </c>
      <c r="C13" s="10" t="s">
        <v>305</v>
      </c>
      <c r="D13" s="11" t="s">
        <v>280</v>
      </c>
    </row>
    <row r="14" spans="1:4" x14ac:dyDescent="0.2">
      <c r="A14" s="16">
        <v>3</v>
      </c>
      <c r="B14" s="14" t="s">
        <v>301</v>
      </c>
      <c r="C14" s="10" t="s">
        <v>438</v>
      </c>
      <c r="D14" s="10" t="s">
        <v>430</v>
      </c>
    </row>
    <row r="15" spans="1:4" x14ac:dyDescent="0.2">
      <c r="A15" s="16">
        <v>1</v>
      </c>
      <c r="B15" s="14" t="s">
        <v>301</v>
      </c>
      <c r="C15" s="10" t="s">
        <v>305</v>
      </c>
      <c r="D15" s="10" t="s">
        <v>277</v>
      </c>
    </row>
    <row r="16" spans="1:4" x14ac:dyDescent="0.2">
      <c r="A16" s="13">
        <v>14</v>
      </c>
      <c r="B16" s="9" t="s">
        <v>298</v>
      </c>
      <c r="C16" s="10" t="s">
        <v>438</v>
      </c>
      <c r="D16" s="11" t="s">
        <v>432</v>
      </c>
    </row>
    <row r="17" spans="1:4" x14ac:dyDescent="0.2">
      <c r="A17" s="13">
        <v>2</v>
      </c>
      <c r="B17" s="9" t="s">
        <v>298</v>
      </c>
      <c r="C17" s="10" t="s">
        <v>305</v>
      </c>
      <c r="D17" s="11" t="s">
        <v>277</v>
      </c>
    </row>
    <row r="18" spans="1:4" x14ac:dyDescent="0.2">
      <c r="A18" s="16">
        <v>4</v>
      </c>
      <c r="B18" s="14" t="s">
        <v>296</v>
      </c>
      <c r="C18" s="10" t="s">
        <v>438</v>
      </c>
      <c r="D18" s="10" t="s">
        <v>430</v>
      </c>
    </row>
    <row r="19" spans="1:4" x14ac:dyDescent="0.2">
      <c r="A19" s="16">
        <v>1</v>
      </c>
      <c r="B19" s="14" t="s">
        <v>296</v>
      </c>
      <c r="C19" s="10" t="s">
        <v>305</v>
      </c>
      <c r="D19" s="10" t="s">
        <v>277</v>
      </c>
    </row>
    <row r="20" spans="1:4" x14ac:dyDescent="0.2">
      <c r="A20" s="13">
        <v>2</v>
      </c>
      <c r="B20" s="9" t="s">
        <v>294</v>
      </c>
      <c r="C20" s="10" t="s">
        <v>438</v>
      </c>
      <c r="D20" s="11" t="s">
        <v>428</v>
      </c>
    </row>
    <row r="21" spans="1:4" x14ac:dyDescent="0.2">
      <c r="A21" s="13">
        <v>2</v>
      </c>
      <c r="B21" s="9" t="s">
        <v>294</v>
      </c>
      <c r="C21" s="10" t="s">
        <v>305</v>
      </c>
      <c r="D21" s="11" t="s">
        <v>267</v>
      </c>
    </row>
    <row r="22" spans="1:4" x14ac:dyDescent="0.2">
      <c r="A22" s="16">
        <v>2</v>
      </c>
      <c r="B22" s="14" t="s">
        <v>292</v>
      </c>
      <c r="C22" s="10" t="s">
        <v>438</v>
      </c>
      <c r="D22" s="10" t="s">
        <v>409</v>
      </c>
    </row>
    <row r="23" spans="1:4" x14ac:dyDescent="0.2">
      <c r="A23" s="16">
        <v>17</v>
      </c>
      <c r="B23" s="14" t="s">
        <v>292</v>
      </c>
      <c r="C23" s="10" t="s">
        <v>305</v>
      </c>
      <c r="D23" s="10" t="s">
        <v>267</v>
      </c>
    </row>
    <row r="24" spans="1:4" x14ac:dyDescent="0.2">
      <c r="A24" s="13">
        <v>7</v>
      </c>
      <c r="B24" s="9" t="s">
        <v>291</v>
      </c>
      <c r="C24" s="10" t="s">
        <v>438</v>
      </c>
      <c r="D24" s="11" t="s">
        <v>427</v>
      </c>
    </row>
    <row r="25" spans="1:4" x14ac:dyDescent="0.2">
      <c r="A25" s="13">
        <v>1</v>
      </c>
      <c r="B25" s="9" t="s">
        <v>291</v>
      </c>
      <c r="C25" s="10" t="s">
        <v>305</v>
      </c>
      <c r="D25" s="11" t="s">
        <v>277</v>
      </c>
    </row>
    <row r="26" spans="1:4" x14ac:dyDescent="0.2">
      <c r="A26" s="16">
        <v>1</v>
      </c>
      <c r="B26" s="14" t="s">
        <v>290</v>
      </c>
      <c r="C26" s="10" t="s">
        <v>438</v>
      </c>
      <c r="D26" s="10" t="s">
        <v>409</v>
      </c>
    </row>
    <row r="27" spans="1:4" x14ac:dyDescent="0.2">
      <c r="A27" s="16">
        <v>1</v>
      </c>
      <c r="B27" s="14" t="s">
        <v>290</v>
      </c>
      <c r="C27" s="10" t="s">
        <v>305</v>
      </c>
      <c r="D27" s="10" t="s">
        <v>277</v>
      </c>
    </row>
    <row r="28" spans="1:4" x14ac:dyDescent="0.2">
      <c r="A28" s="13">
        <v>4</v>
      </c>
      <c r="B28" s="9" t="s">
        <v>287</v>
      </c>
      <c r="C28" s="10" t="s">
        <v>438</v>
      </c>
      <c r="D28" s="11" t="s">
        <v>422</v>
      </c>
    </row>
    <row r="29" spans="1:4" x14ac:dyDescent="0.2">
      <c r="A29" s="13">
        <v>8</v>
      </c>
      <c r="B29" s="9" t="s">
        <v>287</v>
      </c>
      <c r="C29" s="10" t="s">
        <v>305</v>
      </c>
      <c r="D29" s="11" t="s">
        <v>288</v>
      </c>
    </row>
    <row r="30" spans="1:4" x14ac:dyDescent="0.2">
      <c r="A30" s="16">
        <v>1</v>
      </c>
      <c r="B30" s="14" t="s">
        <v>286</v>
      </c>
      <c r="C30" s="10" t="s">
        <v>438</v>
      </c>
      <c r="D30" s="10" t="s">
        <v>424</v>
      </c>
    </row>
    <row r="31" spans="1:4" x14ac:dyDescent="0.2">
      <c r="A31" s="16">
        <v>1</v>
      </c>
      <c r="B31" s="14" t="s">
        <v>286</v>
      </c>
      <c r="C31" s="10" t="s">
        <v>305</v>
      </c>
      <c r="D31" s="10" t="s">
        <v>277</v>
      </c>
    </row>
    <row r="32" spans="1:4" x14ac:dyDescent="0.2">
      <c r="A32" s="13">
        <v>3</v>
      </c>
      <c r="B32" s="9" t="s">
        <v>285</v>
      </c>
      <c r="C32" s="10" t="s">
        <v>438</v>
      </c>
      <c r="D32" s="11" t="s">
        <v>424</v>
      </c>
    </row>
    <row r="33" spans="1:4" x14ac:dyDescent="0.2">
      <c r="A33" s="13">
        <v>1</v>
      </c>
      <c r="B33" s="9" t="s">
        <v>285</v>
      </c>
      <c r="C33" s="10" t="s">
        <v>305</v>
      </c>
      <c r="D33" s="11" t="s">
        <v>277</v>
      </c>
    </row>
    <row r="34" spans="1:4" x14ac:dyDescent="0.2">
      <c r="A34" s="16">
        <v>3</v>
      </c>
      <c r="B34" s="14" t="s">
        <v>283</v>
      </c>
      <c r="C34" s="10" t="s">
        <v>438</v>
      </c>
      <c r="D34" s="10" t="s">
        <v>412</v>
      </c>
    </row>
    <row r="35" spans="1:4" x14ac:dyDescent="0.2">
      <c r="A35" s="16">
        <v>3</v>
      </c>
      <c r="B35" s="14" t="s">
        <v>283</v>
      </c>
      <c r="C35" s="10" t="s">
        <v>305</v>
      </c>
      <c r="D35" s="10" t="s">
        <v>277</v>
      </c>
    </row>
    <row r="36" spans="1:4" x14ac:dyDescent="0.2">
      <c r="A36" s="13">
        <v>1</v>
      </c>
      <c r="B36" s="9" t="s">
        <v>281</v>
      </c>
      <c r="C36" s="10" t="s">
        <v>438</v>
      </c>
      <c r="D36" s="11" t="s">
        <v>409</v>
      </c>
    </row>
    <row r="37" spans="1:4" x14ac:dyDescent="0.2">
      <c r="A37" s="13">
        <v>1</v>
      </c>
      <c r="B37" s="9" t="s">
        <v>281</v>
      </c>
      <c r="C37" s="10" t="s">
        <v>305</v>
      </c>
      <c r="D37" s="11" t="s">
        <v>267</v>
      </c>
    </row>
    <row r="38" spans="1:4" x14ac:dyDescent="0.2">
      <c r="A38" s="16">
        <v>2</v>
      </c>
      <c r="B38" s="14" t="s">
        <v>279</v>
      </c>
      <c r="C38" s="10" t="s">
        <v>438</v>
      </c>
      <c r="D38" s="10" t="s">
        <v>409</v>
      </c>
    </row>
    <row r="39" spans="1:4" x14ac:dyDescent="0.2">
      <c r="A39" s="16">
        <v>1</v>
      </c>
      <c r="B39" s="14" t="s">
        <v>279</v>
      </c>
      <c r="C39" s="10" t="s">
        <v>305</v>
      </c>
      <c r="D39" s="10" t="s">
        <v>280</v>
      </c>
    </row>
    <row r="40" spans="1:4" x14ac:dyDescent="0.2">
      <c r="A40" s="13">
        <v>5</v>
      </c>
      <c r="B40" s="9" t="s">
        <v>276</v>
      </c>
      <c r="C40" s="10" t="s">
        <v>438</v>
      </c>
      <c r="D40" s="11" t="s">
        <v>416</v>
      </c>
    </row>
    <row r="41" spans="1:4" x14ac:dyDescent="0.2">
      <c r="A41" s="13">
        <v>3</v>
      </c>
      <c r="B41" s="9" t="s">
        <v>276</v>
      </c>
      <c r="C41" s="10" t="s">
        <v>305</v>
      </c>
      <c r="D41" s="11" t="s">
        <v>277</v>
      </c>
    </row>
    <row r="42" spans="1:4" x14ac:dyDescent="0.2">
      <c r="A42" s="16" t="s">
        <v>563</v>
      </c>
      <c r="B42" s="14" t="s">
        <v>274</v>
      </c>
      <c r="C42" s="10" t="s">
        <v>438</v>
      </c>
      <c r="D42" s="10" t="s">
        <v>409</v>
      </c>
    </row>
    <row r="43" spans="1:4" x14ac:dyDescent="0.2">
      <c r="A43" s="16">
        <v>1</v>
      </c>
      <c r="B43" s="14" t="s">
        <v>274</v>
      </c>
      <c r="C43" s="10" t="s">
        <v>305</v>
      </c>
      <c r="D43" s="10" t="s">
        <v>267</v>
      </c>
    </row>
    <row r="44" spans="1:4" x14ac:dyDescent="0.2">
      <c r="A44" s="13">
        <v>3</v>
      </c>
      <c r="B44" s="9" t="s">
        <v>271</v>
      </c>
      <c r="C44" s="10" t="s">
        <v>438</v>
      </c>
      <c r="D44" s="11" t="s">
        <v>406</v>
      </c>
    </row>
    <row r="45" spans="1:4" x14ac:dyDescent="0.2">
      <c r="A45" s="13">
        <v>1</v>
      </c>
      <c r="B45" s="9" t="s">
        <v>271</v>
      </c>
      <c r="C45" s="10" t="s">
        <v>305</v>
      </c>
      <c r="D45" s="11" t="s">
        <v>267</v>
      </c>
    </row>
    <row r="46" spans="1:4" x14ac:dyDescent="0.2">
      <c r="A46" s="16">
        <v>7</v>
      </c>
      <c r="B46" s="14" t="s">
        <v>268</v>
      </c>
      <c r="C46" s="10" t="s">
        <v>438</v>
      </c>
      <c r="D46" s="10" t="s">
        <v>409</v>
      </c>
    </row>
    <row r="47" spans="1:4" x14ac:dyDescent="0.2">
      <c r="A47" s="16">
        <v>4</v>
      </c>
      <c r="B47" s="14" t="s">
        <v>268</v>
      </c>
      <c r="C47" s="10" t="s">
        <v>305</v>
      </c>
      <c r="D47" s="10" t="s">
        <v>262</v>
      </c>
    </row>
    <row r="48" spans="1:4" x14ac:dyDescent="0.2">
      <c r="A48" s="13">
        <v>1</v>
      </c>
      <c r="B48" s="9" t="s">
        <v>266</v>
      </c>
      <c r="C48" s="10" t="s">
        <v>438</v>
      </c>
      <c r="D48" s="11" t="s">
        <v>411</v>
      </c>
    </row>
    <row r="49" spans="1:4" x14ac:dyDescent="0.2">
      <c r="A49" s="13">
        <v>2</v>
      </c>
      <c r="B49" s="9" t="s">
        <v>266</v>
      </c>
      <c r="C49" s="10" t="s">
        <v>305</v>
      </c>
      <c r="D49" s="11" t="s">
        <v>267</v>
      </c>
    </row>
    <row r="50" spans="1:4" x14ac:dyDescent="0.2">
      <c r="A50" s="16">
        <v>1</v>
      </c>
      <c r="B50" s="14" t="s">
        <v>263</v>
      </c>
      <c r="C50" s="10" t="s">
        <v>438</v>
      </c>
      <c r="D50" s="10" t="s">
        <v>409</v>
      </c>
    </row>
    <row r="51" spans="1:4" x14ac:dyDescent="0.2">
      <c r="A51" s="16">
        <v>2</v>
      </c>
      <c r="B51" s="14" t="s">
        <v>263</v>
      </c>
      <c r="C51" s="10" t="s">
        <v>305</v>
      </c>
      <c r="D51" s="10" t="s">
        <v>242</v>
      </c>
    </row>
    <row r="52" spans="1:4" x14ac:dyDescent="0.2">
      <c r="A52" s="13">
        <v>1</v>
      </c>
      <c r="B52" s="9" t="s">
        <v>260</v>
      </c>
      <c r="C52" s="10" t="s">
        <v>438</v>
      </c>
      <c r="D52" s="11" t="s">
        <v>408</v>
      </c>
    </row>
    <row r="53" spans="1:4" x14ac:dyDescent="0.2">
      <c r="A53" s="13">
        <v>16</v>
      </c>
      <c r="B53" s="9" t="s">
        <v>260</v>
      </c>
      <c r="C53" s="10" t="s">
        <v>305</v>
      </c>
      <c r="D53" s="11" t="s">
        <v>261</v>
      </c>
    </row>
    <row r="54" spans="1:4" x14ac:dyDescent="0.2">
      <c r="A54" s="16">
        <v>12</v>
      </c>
      <c r="B54" s="14" t="s">
        <v>257</v>
      </c>
      <c r="C54" s="10" t="s">
        <v>438</v>
      </c>
      <c r="D54" s="10" t="s">
        <v>408</v>
      </c>
    </row>
    <row r="55" spans="1:4" x14ac:dyDescent="0.2">
      <c r="A55" s="16">
        <v>6</v>
      </c>
      <c r="B55" s="14" t="s">
        <v>257</v>
      </c>
      <c r="C55" s="10" t="s">
        <v>305</v>
      </c>
      <c r="D55" s="10" t="s">
        <v>242</v>
      </c>
    </row>
    <row r="56" spans="1:4" x14ac:dyDescent="0.2">
      <c r="A56" s="13">
        <v>2</v>
      </c>
      <c r="B56" s="9" t="s">
        <v>255</v>
      </c>
      <c r="C56" s="10" t="s">
        <v>438</v>
      </c>
      <c r="D56" s="11" t="s">
        <v>407</v>
      </c>
    </row>
    <row r="57" spans="1:4" x14ac:dyDescent="0.2">
      <c r="A57" s="13">
        <v>1</v>
      </c>
      <c r="B57" s="9" t="s">
        <v>255</v>
      </c>
      <c r="C57" s="10" t="s">
        <v>305</v>
      </c>
      <c r="D57" s="11" t="s">
        <v>242</v>
      </c>
    </row>
    <row r="58" spans="1:4" x14ac:dyDescent="0.2">
      <c r="A58" s="16">
        <v>2</v>
      </c>
      <c r="B58" s="14" t="s">
        <v>252</v>
      </c>
      <c r="C58" s="10" t="s">
        <v>438</v>
      </c>
      <c r="D58" s="10" t="s">
        <v>404</v>
      </c>
    </row>
    <row r="59" spans="1:4" x14ac:dyDescent="0.2">
      <c r="A59" s="16">
        <v>10</v>
      </c>
      <c r="B59" s="14" t="s">
        <v>252</v>
      </c>
      <c r="C59" s="10" t="s">
        <v>305</v>
      </c>
      <c r="D59" s="10" t="s">
        <v>253</v>
      </c>
    </row>
    <row r="60" spans="1:4" x14ac:dyDescent="0.2">
      <c r="A60" s="13">
        <v>1</v>
      </c>
      <c r="B60" s="9" t="s">
        <v>249</v>
      </c>
      <c r="C60" s="10" t="s">
        <v>438</v>
      </c>
      <c r="D60" s="11" t="s">
        <v>404</v>
      </c>
    </row>
    <row r="61" spans="1:4" x14ac:dyDescent="0.2">
      <c r="A61" s="13">
        <v>6</v>
      </c>
      <c r="B61" s="9" t="s">
        <v>249</v>
      </c>
      <c r="C61" s="10" t="s">
        <v>305</v>
      </c>
      <c r="D61" s="11" t="s">
        <v>250</v>
      </c>
    </row>
    <row r="62" spans="1:4" x14ac:dyDescent="0.2">
      <c r="A62" s="16">
        <v>4</v>
      </c>
      <c r="B62" s="14" t="s">
        <v>246</v>
      </c>
      <c r="C62" s="10" t="s">
        <v>438</v>
      </c>
      <c r="D62" s="10" t="s">
        <v>404</v>
      </c>
    </row>
    <row r="63" spans="1:4" x14ac:dyDescent="0.2">
      <c r="A63" s="16">
        <v>1</v>
      </c>
      <c r="B63" s="14" t="s">
        <v>246</v>
      </c>
      <c r="C63" s="10" t="s">
        <v>305</v>
      </c>
      <c r="D63" s="10" t="s">
        <v>239</v>
      </c>
    </row>
    <row r="64" spans="1:4" x14ac:dyDescent="0.2">
      <c r="A64" s="13">
        <v>1</v>
      </c>
      <c r="B64" s="9" t="s">
        <v>243</v>
      </c>
      <c r="C64" s="10" t="s">
        <v>438</v>
      </c>
      <c r="D64" s="11" t="s">
        <v>397</v>
      </c>
    </row>
    <row r="65" spans="1:4" x14ac:dyDescent="0.2">
      <c r="A65" s="13">
        <v>4</v>
      </c>
      <c r="B65" s="9" t="s">
        <v>243</v>
      </c>
      <c r="C65" s="10" t="s">
        <v>305</v>
      </c>
      <c r="D65" s="11" t="s">
        <v>231</v>
      </c>
    </row>
    <row r="66" spans="1:4" x14ac:dyDescent="0.2">
      <c r="A66" s="16">
        <v>4</v>
      </c>
      <c r="B66" s="14" t="s">
        <v>241</v>
      </c>
      <c r="C66" s="10" t="s">
        <v>438</v>
      </c>
      <c r="D66" s="10" t="s">
        <v>402</v>
      </c>
    </row>
    <row r="67" spans="1:4" x14ac:dyDescent="0.2">
      <c r="A67" s="16">
        <v>2</v>
      </c>
      <c r="B67" s="14" t="s">
        <v>241</v>
      </c>
      <c r="C67" s="10" t="s">
        <v>305</v>
      </c>
      <c r="D67" s="10" t="s">
        <v>242</v>
      </c>
    </row>
    <row r="68" spans="1:4" x14ac:dyDescent="0.2">
      <c r="A68" s="13">
        <v>1</v>
      </c>
      <c r="B68" s="9" t="s">
        <v>238</v>
      </c>
      <c r="C68" s="10" t="s">
        <v>438</v>
      </c>
      <c r="D68" s="11" t="s">
        <v>395</v>
      </c>
    </row>
    <row r="69" spans="1:4" x14ac:dyDescent="0.2">
      <c r="A69" s="13">
        <v>1</v>
      </c>
      <c r="B69" s="9" t="s">
        <v>238</v>
      </c>
      <c r="C69" s="10" t="s">
        <v>305</v>
      </c>
      <c r="D69" s="11" t="s">
        <v>239</v>
      </c>
    </row>
    <row r="70" spans="1:4" x14ac:dyDescent="0.2">
      <c r="A70" s="16">
        <v>1</v>
      </c>
      <c r="B70" s="14" t="s">
        <v>236</v>
      </c>
      <c r="C70" s="10" t="s">
        <v>438</v>
      </c>
      <c r="D70" s="10" t="s">
        <v>397</v>
      </c>
    </row>
    <row r="71" spans="1:4" x14ac:dyDescent="0.2">
      <c r="A71" s="16">
        <v>1</v>
      </c>
      <c r="B71" s="14" t="s">
        <v>236</v>
      </c>
      <c r="C71" s="10" t="s">
        <v>305</v>
      </c>
      <c r="D71" s="10" t="s">
        <v>234</v>
      </c>
    </row>
    <row r="72" spans="1:4" x14ac:dyDescent="0.2">
      <c r="A72" s="13">
        <v>1</v>
      </c>
      <c r="B72" s="9" t="s">
        <v>233</v>
      </c>
      <c r="C72" s="10" t="s">
        <v>438</v>
      </c>
      <c r="D72" s="11" t="s">
        <v>397</v>
      </c>
    </row>
    <row r="73" spans="1:4" x14ac:dyDescent="0.2">
      <c r="A73" s="13">
        <v>2</v>
      </c>
      <c r="B73" s="9" t="s">
        <v>233</v>
      </c>
      <c r="C73" s="10" t="s">
        <v>305</v>
      </c>
      <c r="D73" s="11" t="s">
        <v>234</v>
      </c>
    </row>
    <row r="74" spans="1:4" x14ac:dyDescent="0.2">
      <c r="A74" s="16">
        <v>2</v>
      </c>
      <c r="B74" s="14" t="s">
        <v>230</v>
      </c>
      <c r="C74" s="10" t="s">
        <v>438</v>
      </c>
      <c r="D74" s="10" t="s">
        <v>397</v>
      </c>
    </row>
    <row r="75" spans="1:4" x14ac:dyDescent="0.2">
      <c r="A75" s="16">
        <v>2</v>
      </c>
      <c r="B75" s="14" t="s">
        <v>230</v>
      </c>
      <c r="C75" s="10" t="s">
        <v>305</v>
      </c>
      <c r="D75" s="10" t="s">
        <v>231</v>
      </c>
    </row>
    <row r="76" spans="1:4" x14ac:dyDescent="0.2">
      <c r="A76" s="13">
        <v>1</v>
      </c>
      <c r="B76" s="9" t="s">
        <v>229</v>
      </c>
      <c r="C76" s="10" t="s">
        <v>438</v>
      </c>
      <c r="D76" s="11" t="s">
        <v>395</v>
      </c>
    </row>
    <row r="77" spans="1:4" x14ac:dyDescent="0.2">
      <c r="A77" s="13">
        <v>1</v>
      </c>
      <c r="B77" s="9" t="s">
        <v>229</v>
      </c>
      <c r="C77" s="10" t="s">
        <v>305</v>
      </c>
      <c r="D77" s="11" t="s">
        <v>216</v>
      </c>
    </row>
    <row r="78" spans="1:4" x14ac:dyDescent="0.2">
      <c r="A78" s="16">
        <v>1</v>
      </c>
      <c r="B78" s="14" t="s">
        <v>226</v>
      </c>
      <c r="C78" s="10" t="s">
        <v>438</v>
      </c>
      <c r="D78" s="10" t="s">
        <v>395</v>
      </c>
    </row>
    <row r="79" spans="1:4" x14ac:dyDescent="0.2">
      <c r="A79" s="16">
        <v>2</v>
      </c>
      <c r="B79" s="14" t="s">
        <v>226</v>
      </c>
      <c r="C79" s="10" t="s">
        <v>305</v>
      </c>
      <c r="D79" s="10" t="s">
        <v>216</v>
      </c>
    </row>
    <row r="80" spans="1:4" x14ac:dyDescent="0.2">
      <c r="A80" s="13">
        <v>1</v>
      </c>
      <c r="B80" s="9" t="s">
        <v>225</v>
      </c>
      <c r="C80" s="10" t="s">
        <v>438</v>
      </c>
      <c r="D80" s="11" t="s">
        <v>395</v>
      </c>
    </row>
    <row r="81" spans="1:4" x14ac:dyDescent="0.2">
      <c r="A81" s="13">
        <v>3</v>
      </c>
      <c r="B81" s="9" t="s">
        <v>225</v>
      </c>
      <c r="C81" s="10" t="s">
        <v>305</v>
      </c>
      <c r="D81" s="11" t="s">
        <v>215</v>
      </c>
    </row>
    <row r="82" spans="1:4" x14ac:dyDescent="0.2">
      <c r="A82" s="16">
        <v>2</v>
      </c>
      <c r="B82" s="14" t="s">
        <v>223</v>
      </c>
      <c r="C82" s="10" t="s">
        <v>438</v>
      </c>
      <c r="D82" s="10" t="s">
        <v>387</v>
      </c>
    </row>
    <row r="83" spans="1:4" x14ac:dyDescent="0.2">
      <c r="A83" s="16">
        <v>4</v>
      </c>
      <c r="B83" s="14" t="s">
        <v>223</v>
      </c>
      <c r="C83" s="10" t="s">
        <v>305</v>
      </c>
      <c r="D83" s="10" t="s">
        <v>221</v>
      </c>
    </row>
    <row r="84" spans="1:4" x14ac:dyDescent="0.2">
      <c r="A84" s="16">
        <v>2</v>
      </c>
      <c r="B84" s="14" t="s">
        <v>220</v>
      </c>
      <c r="C84" s="10" t="s">
        <v>438</v>
      </c>
      <c r="D84" s="10" t="s">
        <v>390</v>
      </c>
    </row>
    <row r="85" spans="1:4" x14ac:dyDescent="0.2">
      <c r="A85" s="13">
        <v>5</v>
      </c>
      <c r="B85" s="9" t="s">
        <v>220</v>
      </c>
      <c r="C85" s="10" t="s">
        <v>305</v>
      </c>
      <c r="D85" s="11" t="s">
        <v>221</v>
      </c>
    </row>
    <row r="86" spans="1:4" x14ac:dyDescent="0.2">
      <c r="A86" s="13">
        <v>2</v>
      </c>
      <c r="B86" s="9" t="s">
        <v>218</v>
      </c>
      <c r="C86" s="10" t="s">
        <v>438</v>
      </c>
      <c r="D86" s="11" t="s">
        <v>376</v>
      </c>
    </row>
    <row r="87" spans="1:4" x14ac:dyDescent="0.2">
      <c r="A87" s="16">
        <v>2</v>
      </c>
      <c r="B87" s="14" t="s">
        <v>218</v>
      </c>
      <c r="C87" s="10" t="s">
        <v>305</v>
      </c>
      <c r="D87" s="10" t="s">
        <v>215</v>
      </c>
    </row>
    <row r="88" spans="1:4" x14ac:dyDescent="0.2">
      <c r="A88" s="16">
        <v>1</v>
      </c>
      <c r="B88" s="14" t="s">
        <v>214</v>
      </c>
      <c r="C88" s="10" t="s">
        <v>438</v>
      </c>
      <c r="D88" s="10" t="s">
        <v>390</v>
      </c>
    </row>
    <row r="89" spans="1:4" x14ac:dyDescent="0.2">
      <c r="A89" s="13">
        <v>3</v>
      </c>
      <c r="B89" s="9" t="s">
        <v>214</v>
      </c>
      <c r="C89" s="10" t="s">
        <v>305</v>
      </c>
      <c r="D89" s="11" t="s">
        <v>215</v>
      </c>
    </row>
    <row r="90" spans="1:4" x14ac:dyDescent="0.2">
      <c r="A90" s="13">
        <v>2</v>
      </c>
      <c r="B90" s="9" t="s">
        <v>212</v>
      </c>
      <c r="C90" s="10" t="s">
        <v>438</v>
      </c>
      <c r="D90" s="11" t="s">
        <v>376</v>
      </c>
    </row>
    <row r="91" spans="1:4" x14ac:dyDescent="0.2">
      <c r="A91" s="16">
        <v>1</v>
      </c>
      <c r="B91" s="14" t="s">
        <v>212</v>
      </c>
      <c r="C91" s="10" t="s">
        <v>305</v>
      </c>
      <c r="D91" s="10" t="s">
        <v>210</v>
      </c>
    </row>
    <row r="92" spans="1:4" x14ac:dyDescent="0.2">
      <c r="A92" s="16">
        <v>3</v>
      </c>
      <c r="B92" s="14" t="s">
        <v>209</v>
      </c>
      <c r="C92" s="10" t="s">
        <v>438</v>
      </c>
      <c r="D92" s="10" t="s">
        <v>390</v>
      </c>
    </row>
    <row r="93" spans="1:4" x14ac:dyDescent="0.2">
      <c r="A93" s="13">
        <v>4</v>
      </c>
      <c r="B93" s="9" t="s">
        <v>209</v>
      </c>
      <c r="C93" s="10" t="s">
        <v>305</v>
      </c>
      <c r="D93" s="11" t="s">
        <v>210</v>
      </c>
    </row>
    <row r="94" spans="1:4" x14ac:dyDescent="0.2">
      <c r="A94" s="13">
        <v>3</v>
      </c>
      <c r="B94" s="9" t="s">
        <v>206</v>
      </c>
      <c r="C94" s="10" t="s">
        <v>438</v>
      </c>
      <c r="D94" s="11" t="s">
        <v>387</v>
      </c>
    </row>
    <row r="95" spans="1:4" x14ac:dyDescent="0.2">
      <c r="A95" s="16">
        <v>8</v>
      </c>
      <c r="B95" s="14" t="s">
        <v>206</v>
      </c>
      <c r="C95" s="10" t="s">
        <v>305</v>
      </c>
      <c r="D95" s="10" t="s">
        <v>207</v>
      </c>
    </row>
    <row r="96" spans="1:4" x14ac:dyDescent="0.2">
      <c r="A96" s="16">
        <v>5</v>
      </c>
      <c r="B96" s="14" t="s">
        <v>204</v>
      </c>
      <c r="C96" s="10" t="s">
        <v>438</v>
      </c>
      <c r="D96" s="10" t="s">
        <v>384</v>
      </c>
    </row>
    <row r="97" spans="1:4" x14ac:dyDescent="0.2">
      <c r="A97" s="13">
        <v>1</v>
      </c>
      <c r="B97" s="9" t="s">
        <v>204</v>
      </c>
      <c r="C97" s="10" t="s">
        <v>305</v>
      </c>
      <c r="D97" s="11" t="s">
        <v>197</v>
      </c>
    </row>
    <row r="98" spans="1:4" x14ac:dyDescent="0.2">
      <c r="A98" s="13" t="s">
        <v>563</v>
      </c>
      <c r="B98" s="9" t="s">
        <v>201</v>
      </c>
      <c r="C98" s="10" t="s">
        <v>438</v>
      </c>
      <c r="D98" s="11" t="s">
        <v>382</v>
      </c>
    </row>
    <row r="99" spans="1:4" x14ac:dyDescent="0.2">
      <c r="A99" s="16">
        <v>1</v>
      </c>
      <c r="B99" s="14" t="s">
        <v>201</v>
      </c>
      <c r="C99" s="10" t="s">
        <v>305</v>
      </c>
      <c r="D99" s="10" t="s">
        <v>197</v>
      </c>
    </row>
    <row r="100" spans="1:4" x14ac:dyDescent="0.2">
      <c r="A100" s="16">
        <v>1</v>
      </c>
      <c r="B100" s="14" t="s">
        <v>193</v>
      </c>
      <c r="C100" s="10" t="s">
        <v>438</v>
      </c>
      <c r="D100" s="10" t="s">
        <v>373</v>
      </c>
    </row>
    <row r="101" spans="1:4" x14ac:dyDescent="0.2">
      <c r="A101" s="13" t="s">
        <v>563</v>
      </c>
      <c r="B101" s="9" t="s">
        <v>193</v>
      </c>
      <c r="C101" s="10" t="s">
        <v>305</v>
      </c>
      <c r="D101" s="11" t="s">
        <v>194</v>
      </c>
    </row>
    <row r="102" spans="1:4" x14ac:dyDescent="0.2">
      <c r="A102" s="13">
        <v>3</v>
      </c>
      <c r="B102" s="9" t="s">
        <v>192</v>
      </c>
      <c r="C102" s="10" t="s">
        <v>438</v>
      </c>
      <c r="D102" s="11" t="s">
        <v>373</v>
      </c>
    </row>
    <row r="103" spans="1:4" x14ac:dyDescent="0.2">
      <c r="A103" s="16">
        <v>2</v>
      </c>
      <c r="B103" s="14" t="s">
        <v>192</v>
      </c>
      <c r="C103" s="10" t="s">
        <v>305</v>
      </c>
      <c r="D103" s="10" t="s">
        <v>186</v>
      </c>
    </row>
    <row r="104" spans="1:4" x14ac:dyDescent="0.2">
      <c r="A104" s="16">
        <v>2</v>
      </c>
      <c r="B104" s="14" t="s">
        <v>189</v>
      </c>
      <c r="C104" s="10" t="s">
        <v>438</v>
      </c>
      <c r="D104" s="10" t="s">
        <v>373</v>
      </c>
    </row>
    <row r="105" spans="1:4" x14ac:dyDescent="0.2">
      <c r="A105" s="13">
        <v>2</v>
      </c>
      <c r="B105" s="9" t="s">
        <v>189</v>
      </c>
      <c r="C105" s="10" t="s">
        <v>305</v>
      </c>
      <c r="D105" s="11" t="s">
        <v>190</v>
      </c>
    </row>
    <row r="106" spans="1:4" x14ac:dyDescent="0.2">
      <c r="A106" s="13">
        <v>1</v>
      </c>
      <c r="B106" s="9" t="s">
        <v>185</v>
      </c>
      <c r="C106" s="10" t="s">
        <v>438</v>
      </c>
      <c r="D106" s="11" t="s">
        <v>371</v>
      </c>
    </row>
    <row r="107" spans="1:4" x14ac:dyDescent="0.2">
      <c r="A107" s="16">
        <v>2</v>
      </c>
      <c r="B107" s="14" t="s">
        <v>185</v>
      </c>
      <c r="C107" s="10" t="s">
        <v>305</v>
      </c>
      <c r="D107" s="10" t="s">
        <v>186</v>
      </c>
    </row>
    <row r="108" spans="1:4" x14ac:dyDescent="0.2">
      <c r="A108" s="16">
        <v>2</v>
      </c>
      <c r="B108" s="14" t="s">
        <v>184</v>
      </c>
      <c r="C108" s="10" t="s">
        <v>438</v>
      </c>
      <c r="D108" s="10" t="s">
        <v>374</v>
      </c>
    </row>
    <row r="109" spans="1:4" x14ac:dyDescent="0.2">
      <c r="A109" s="13">
        <v>2</v>
      </c>
      <c r="B109" s="9" t="s">
        <v>184</v>
      </c>
      <c r="C109" s="10" t="s">
        <v>305</v>
      </c>
      <c r="D109" s="11" t="s">
        <v>132</v>
      </c>
    </row>
    <row r="110" spans="1:4" x14ac:dyDescent="0.2">
      <c r="A110" s="13">
        <v>1</v>
      </c>
      <c r="B110" s="9" t="s">
        <v>182</v>
      </c>
      <c r="C110" s="10" t="s">
        <v>438</v>
      </c>
      <c r="D110" s="11" t="s">
        <v>371</v>
      </c>
    </row>
    <row r="111" spans="1:4" x14ac:dyDescent="0.2">
      <c r="A111" s="16">
        <v>2</v>
      </c>
      <c r="B111" s="14" t="s">
        <v>182</v>
      </c>
      <c r="C111" s="10" t="s">
        <v>305</v>
      </c>
      <c r="D111" s="10" t="s">
        <v>132</v>
      </c>
    </row>
    <row r="112" spans="1:4" x14ac:dyDescent="0.2">
      <c r="A112" s="16">
        <v>1</v>
      </c>
      <c r="B112" s="14" t="s">
        <v>179</v>
      </c>
      <c r="C112" s="10" t="s">
        <v>438</v>
      </c>
      <c r="D112" s="10" t="s">
        <v>371</v>
      </c>
    </row>
    <row r="113" spans="1:4" x14ac:dyDescent="0.2">
      <c r="A113" s="13">
        <v>4</v>
      </c>
      <c r="B113" s="9" t="s">
        <v>179</v>
      </c>
      <c r="C113" s="10" t="s">
        <v>305</v>
      </c>
      <c r="D113" s="11" t="s">
        <v>169</v>
      </c>
    </row>
    <row r="114" spans="1:4" x14ac:dyDescent="0.2">
      <c r="A114" s="13">
        <v>2</v>
      </c>
      <c r="B114" s="9" t="s">
        <v>176</v>
      </c>
      <c r="C114" s="10" t="s">
        <v>438</v>
      </c>
      <c r="D114" s="11" t="s">
        <v>371</v>
      </c>
    </row>
    <row r="115" spans="1:4" x14ac:dyDescent="0.2">
      <c r="A115" s="16">
        <v>1</v>
      </c>
      <c r="B115" s="14" t="s">
        <v>176</v>
      </c>
      <c r="C115" s="10" t="s">
        <v>305</v>
      </c>
      <c r="D115" s="10" t="s">
        <v>153</v>
      </c>
    </row>
    <row r="116" spans="1:4" x14ac:dyDescent="0.2">
      <c r="A116" s="16">
        <v>1</v>
      </c>
      <c r="B116" s="14" t="s">
        <v>173</v>
      </c>
      <c r="C116" s="10" t="s">
        <v>438</v>
      </c>
      <c r="D116" s="10" t="s">
        <v>370</v>
      </c>
    </row>
    <row r="117" spans="1:4" x14ac:dyDescent="0.2">
      <c r="A117" s="13">
        <v>1</v>
      </c>
      <c r="B117" s="9" t="s">
        <v>173</v>
      </c>
      <c r="C117" s="10" t="s">
        <v>305</v>
      </c>
      <c r="D117" s="11" t="s">
        <v>564</v>
      </c>
    </row>
    <row r="118" spans="1:4" x14ac:dyDescent="0.2">
      <c r="A118" s="13">
        <v>1</v>
      </c>
      <c r="B118" s="9" t="s">
        <v>171</v>
      </c>
      <c r="C118" s="10" t="s">
        <v>438</v>
      </c>
      <c r="D118" s="11" t="s">
        <v>368</v>
      </c>
    </row>
    <row r="119" spans="1:4" x14ac:dyDescent="0.2">
      <c r="A119" s="16">
        <v>1</v>
      </c>
      <c r="B119" s="14" t="s">
        <v>171</v>
      </c>
      <c r="C119" s="10" t="s">
        <v>305</v>
      </c>
      <c r="D119" s="10" t="s">
        <v>156</v>
      </c>
    </row>
    <row r="120" spans="1:4" x14ac:dyDescent="0.2">
      <c r="A120" s="16">
        <v>1</v>
      </c>
      <c r="B120" s="14" t="s">
        <v>168</v>
      </c>
      <c r="C120" s="10" t="s">
        <v>438</v>
      </c>
      <c r="D120" s="10" t="s">
        <v>371</v>
      </c>
    </row>
    <row r="121" spans="1:4" x14ac:dyDescent="0.2">
      <c r="A121" s="13">
        <v>1</v>
      </c>
      <c r="B121" s="9" t="s">
        <v>168</v>
      </c>
      <c r="C121" s="10" t="s">
        <v>305</v>
      </c>
      <c r="D121" s="11" t="s">
        <v>156</v>
      </c>
    </row>
    <row r="122" spans="1:4" x14ac:dyDescent="0.2">
      <c r="A122" s="13">
        <v>1</v>
      </c>
      <c r="B122" s="9" t="s">
        <v>166</v>
      </c>
      <c r="C122" s="10" t="s">
        <v>438</v>
      </c>
      <c r="D122" s="11" t="s">
        <v>371</v>
      </c>
    </row>
    <row r="123" spans="1:4" x14ac:dyDescent="0.2">
      <c r="A123" s="16">
        <v>1</v>
      </c>
      <c r="B123" s="14" t="s">
        <v>166</v>
      </c>
      <c r="C123" s="10" t="s">
        <v>305</v>
      </c>
      <c r="D123" s="10" t="s">
        <v>156</v>
      </c>
    </row>
    <row r="124" spans="1:4" x14ac:dyDescent="0.2">
      <c r="A124" s="16">
        <v>1</v>
      </c>
      <c r="B124" s="14" t="s">
        <v>163</v>
      </c>
      <c r="C124" s="10" t="s">
        <v>438</v>
      </c>
      <c r="D124" s="10" t="s">
        <v>371</v>
      </c>
    </row>
    <row r="125" spans="1:4" x14ac:dyDescent="0.2">
      <c r="A125" s="13">
        <v>1</v>
      </c>
      <c r="B125" s="9" t="s">
        <v>163</v>
      </c>
      <c r="C125" s="10" t="s">
        <v>305</v>
      </c>
      <c r="D125" s="11" t="s">
        <v>156</v>
      </c>
    </row>
    <row r="126" spans="1:4" x14ac:dyDescent="0.2">
      <c r="A126" s="13">
        <v>1</v>
      </c>
      <c r="B126" s="9" t="s">
        <v>160</v>
      </c>
      <c r="C126" s="10" t="s">
        <v>438</v>
      </c>
      <c r="D126" s="11" t="s">
        <v>371</v>
      </c>
    </row>
    <row r="127" spans="1:4" x14ac:dyDescent="0.2">
      <c r="A127" s="16">
        <v>1</v>
      </c>
      <c r="B127" s="14" t="s">
        <v>160</v>
      </c>
      <c r="C127" s="10" t="s">
        <v>305</v>
      </c>
      <c r="D127" s="10" t="s">
        <v>156</v>
      </c>
    </row>
    <row r="128" spans="1:4" x14ac:dyDescent="0.2">
      <c r="A128" s="16">
        <v>1</v>
      </c>
      <c r="B128" s="14" t="s">
        <v>158</v>
      </c>
      <c r="C128" s="10" t="s">
        <v>438</v>
      </c>
      <c r="D128" s="10" t="s">
        <v>371</v>
      </c>
    </row>
    <row r="129" spans="1:4" x14ac:dyDescent="0.2">
      <c r="A129" s="13">
        <v>1</v>
      </c>
      <c r="B129" s="9" t="s">
        <v>158</v>
      </c>
      <c r="C129" s="10" t="s">
        <v>305</v>
      </c>
      <c r="D129" s="11" t="s">
        <v>153</v>
      </c>
    </row>
    <row r="130" spans="1:4" x14ac:dyDescent="0.2">
      <c r="A130" s="13">
        <v>1</v>
      </c>
      <c r="B130" s="9" t="s">
        <v>155</v>
      </c>
      <c r="C130" s="10" t="s">
        <v>438</v>
      </c>
      <c r="D130" s="11" t="s">
        <v>371</v>
      </c>
    </row>
    <row r="131" spans="1:4" x14ac:dyDescent="0.2">
      <c r="A131" s="16">
        <v>2</v>
      </c>
      <c r="B131" s="14" t="s">
        <v>155</v>
      </c>
      <c r="C131" s="10" t="s">
        <v>305</v>
      </c>
      <c r="D131" s="10" t="s">
        <v>156</v>
      </c>
    </row>
    <row r="132" spans="1:4" x14ac:dyDescent="0.2">
      <c r="A132" s="16">
        <v>7</v>
      </c>
      <c r="B132" s="14" t="s">
        <v>152</v>
      </c>
      <c r="C132" s="10" t="s">
        <v>438</v>
      </c>
      <c r="D132" s="10" t="s">
        <v>371</v>
      </c>
    </row>
    <row r="133" spans="1:4" x14ac:dyDescent="0.2">
      <c r="A133" s="13">
        <v>3</v>
      </c>
      <c r="B133" s="9" t="s">
        <v>152</v>
      </c>
      <c r="C133" s="10" t="s">
        <v>305</v>
      </c>
      <c r="D133" s="11" t="s">
        <v>153</v>
      </c>
    </row>
    <row r="134" spans="1:4" x14ac:dyDescent="0.2">
      <c r="A134" s="13">
        <v>4</v>
      </c>
      <c r="B134" s="9" t="s">
        <v>150</v>
      </c>
      <c r="C134" s="10" t="s">
        <v>438</v>
      </c>
      <c r="D134" s="11" t="s">
        <v>355</v>
      </c>
    </row>
    <row r="135" spans="1:4" x14ac:dyDescent="0.2">
      <c r="A135" s="16">
        <v>2</v>
      </c>
      <c r="B135" s="14" t="s">
        <v>150</v>
      </c>
      <c r="C135" s="10" t="s">
        <v>305</v>
      </c>
      <c r="D135" s="10" t="s">
        <v>495</v>
      </c>
    </row>
    <row r="136" spans="1:4" x14ac:dyDescent="0.2">
      <c r="A136" s="16">
        <v>1</v>
      </c>
      <c r="B136" s="14" t="s">
        <v>147</v>
      </c>
      <c r="C136" s="10" t="s">
        <v>438</v>
      </c>
      <c r="D136" s="10" t="s">
        <v>359</v>
      </c>
    </row>
    <row r="137" spans="1:4" x14ac:dyDescent="0.2">
      <c r="A137" s="13">
        <v>3</v>
      </c>
      <c r="B137" s="9" t="s">
        <v>147</v>
      </c>
      <c r="C137" s="10" t="s">
        <v>305</v>
      </c>
      <c r="D137" s="11" t="s">
        <v>144</v>
      </c>
    </row>
    <row r="138" spans="1:4" x14ac:dyDescent="0.2">
      <c r="A138" s="13">
        <v>1</v>
      </c>
      <c r="B138" s="9" t="s">
        <v>143</v>
      </c>
      <c r="C138" s="10" t="s">
        <v>438</v>
      </c>
      <c r="D138" s="11" t="s">
        <v>357</v>
      </c>
    </row>
    <row r="139" spans="1:4" x14ac:dyDescent="0.2">
      <c r="A139" s="16">
        <v>2</v>
      </c>
      <c r="B139" s="14" t="s">
        <v>143</v>
      </c>
      <c r="C139" s="10" t="s">
        <v>305</v>
      </c>
      <c r="D139" s="10" t="s">
        <v>144</v>
      </c>
    </row>
    <row r="140" spans="1:4" x14ac:dyDescent="0.2">
      <c r="A140" s="16">
        <v>2</v>
      </c>
      <c r="B140" s="14" t="s">
        <v>141</v>
      </c>
      <c r="C140" s="10" t="s">
        <v>438</v>
      </c>
      <c r="D140" s="10" t="s">
        <v>355</v>
      </c>
    </row>
    <row r="141" spans="1:4" x14ac:dyDescent="0.2">
      <c r="A141" s="13">
        <v>1</v>
      </c>
      <c r="B141" s="9" t="s">
        <v>141</v>
      </c>
      <c r="C141" s="10" t="s">
        <v>305</v>
      </c>
      <c r="D141" s="11" t="s">
        <v>139</v>
      </c>
    </row>
    <row r="142" spans="1:4" x14ac:dyDescent="0.2">
      <c r="A142" s="13">
        <v>2</v>
      </c>
      <c r="B142" s="9" t="s">
        <v>138</v>
      </c>
      <c r="C142" s="10" t="s">
        <v>438</v>
      </c>
      <c r="D142" s="11" t="s">
        <v>354</v>
      </c>
    </row>
    <row r="143" spans="1:4" x14ac:dyDescent="0.2">
      <c r="A143" s="16">
        <v>1</v>
      </c>
      <c r="B143" s="14" t="s">
        <v>138</v>
      </c>
      <c r="C143" s="10" t="s">
        <v>305</v>
      </c>
      <c r="D143" s="10" t="s">
        <v>132</v>
      </c>
    </row>
    <row r="144" spans="1:4" x14ac:dyDescent="0.2">
      <c r="A144" s="16">
        <v>1</v>
      </c>
      <c r="B144" s="14" t="s">
        <v>135</v>
      </c>
      <c r="C144" s="10" t="s">
        <v>438</v>
      </c>
      <c r="D144" s="10" t="s">
        <v>340</v>
      </c>
    </row>
    <row r="145" spans="1:4" x14ac:dyDescent="0.2">
      <c r="A145" s="13">
        <v>5</v>
      </c>
      <c r="B145" s="9" t="s">
        <v>135</v>
      </c>
      <c r="C145" s="10" t="s">
        <v>305</v>
      </c>
      <c r="D145" s="11" t="s">
        <v>133</v>
      </c>
    </row>
    <row r="146" spans="1:4" x14ac:dyDescent="0.2">
      <c r="A146" s="13">
        <v>1</v>
      </c>
      <c r="B146" s="9" t="s">
        <v>131</v>
      </c>
      <c r="C146" s="10" t="s">
        <v>438</v>
      </c>
      <c r="D146" s="11" t="s">
        <v>351</v>
      </c>
    </row>
    <row r="147" spans="1:4" x14ac:dyDescent="0.2">
      <c r="A147" s="16">
        <v>3</v>
      </c>
      <c r="B147" s="14" t="s">
        <v>131</v>
      </c>
      <c r="C147" s="10" t="s">
        <v>305</v>
      </c>
      <c r="D147" s="10" t="s">
        <v>132</v>
      </c>
    </row>
    <row r="148" spans="1:4" x14ac:dyDescent="0.2">
      <c r="A148" s="16">
        <v>2</v>
      </c>
      <c r="B148" s="14" t="s">
        <v>129</v>
      </c>
      <c r="C148" s="10" t="s">
        <v>438</v>
      </c>
      <c r="D148" s="10" t="s">
        <v>340</v>
      </c>
    </row>
    <row r="149" spans="1:4" x14ac:dyDescent="0.2">
      <c r="A149" s="13">
        <v>4</v>
      </c>
      <c r="B149" s="9" t="s">
        <v>129</v>
      </c>
      <c r="C149" s="10" t="s">
        <v>305</v>
      </c>
      <c r="D149" s="11" t="s">
        <v>124</v>
      </c>
    </row>
    <row r="150" spans="1:4" x14ac:dyDescent="0.2">
      <c r="A150" s="13">
        <v>1</v>
      </c>
      <c r="B150" s="9" t="s">
        <v>126</v>
      </c>
      <c r="C150" s="10" t="s">
        <v>438</v>
      </c>
      <c r="D150" s="11" t="s">
        <v>331</v>
      </c>
    </row>
    <row r="151" spans="1:4" x14ac:dyDescent="0.2">
      <c r="A151" s="16">
        <v>4</v>
      </c>
      <c r="B151" s="14" t="s">
        <v>126</v>
      </c>
      <c r="C151" s="10" t="s">
        <v>305</v>
      </c>
      <c r="D151" s="10" t="s">
        <v>127</v>
      </c>
    </row>
    <row r="152" spans="1:4" x14ac:dyDescent="0.2">
      <c r="A152" s="16">
        <v>1</v>
      </c>
      <c r="B152" s="14" t="s">
        <v>123</v>
      </c>
      <c r="C152" s="10" t="s">
        <v>438</v>
      </c>
      <c r="D152" s="10" t="s">
        <v>347</v>
      </c>
    </row>
    <row r="153" spans="1:4" x14ac:dyDescent="0.2">
      <c r="A153" s="13">
        <v>5</v>
      </c>
      <c r="B153" s="9" t="s">
        <v>123</v>
      </c>
      <c r="C153" s="10" t="s">
        <v>305</v>
      </c>
      <c r="D153" s="11" t="s">
        <v>121</v>
      </c>
    </row>
    <row r="154" spans="1:4" x14ac:dyDescent="0.2">
      <c r="A154" s="13">
        <v>1</v>
      </c>
      <c r="B154" s="9" t="s">
        <v>120</v>
      </c>
      <c r="C154" s="10" t="s">
        <v>438</v>
      </c>
      <c r="D154" s="11" t="s">
        <v>345</v>
      </c>
    </row>
    <row r="155" spans="1:4" x14ac:dyDescent="0.2">
      <c r="A155" s="16">
        <v>4</v>
      </c>
      <c r="B155" s="14" t="s">
        <v>120</v>
      </c>
      <c r="C155" s="10" t="s">
        <v>305</v>
      </c>
      <c r="D155" s="10" t="s">
        <v>121</v>
      </c>
    </row>
    <row r="156" spans="1:4" x14ac:dyDescent="0.2">
      <c r="A156" s="16">
        <v>1</v>
      </c>
      <c r="B156" s="14" t="s">
        <v>118</v>
      </c>
      <c r="C156" s="10" t="s">
        <v>438</v>
      </c>
      <c r="D156" s="10" t="s">
        <v>331</v>
      </c>
    </row>
    <row r="157" spans="1:4" x14ac:dyDescent="0.2">
      <c r="A157" s="13">
        <v>2</v>
      </c>
      <c r="B157" s="9" t="s">
        <v>118</v>
      </c>
      <c r="C157" s="10" t="s">
        <v>305</v>
      </c>
      <c r="D157" s="11" t="s">
        <v>100</v>
      </c>
    </row>
    <row r="158" spans="1:4" x14ac:dyDescent="0.2">
      <c r="A158" s="13">
        <v>1</v>
      </c>
      <c r="B158" s="9" t="s">
        <v>116</v>
      </c>
      <c r="C158" s="10" t="s">
        <v>438</v>
      </c>
      <c r="D158" s="11" t="s">
        <v>331</v>
      </c>
    </row>
    <row r="159" spans="1:4" x14ac:dyDescent="0.2">
      <c r="A159" s="16">
        <v>2</v>
      </c>
      <c r="B159" s="14" t="s">
        <v>116</v>
      </c>
      <c r="C159" s="10" t="s">
        <v>305</v>
      </c>
      <c r="D159" s="10" t="s">
        <v>114</v>
      </c>
    </row>
    <row r="160" spans="1:4" x14ac:dyDescent="0.2">
      <c r="A160" s="16">
        <v>1</v>
      </c>
      <c r="B160" s="14" t="s">
        <v>113</v>
      </c>
      <c r="C160" s="10" t="s">
        <v>438</v>
      </c>
      <c r="D160" s="10" t="s">
        <v>331</v>
      </c>
    </row>
    <row r="161" spans="1:4" x14ac:dyDescent="0.2">
      <c r="A161" s="13">
        <v>1</v>
      </c>
      <c r="B161" s="9" t="s">
        <v>113</v>
      </c>
      <c r="C161" s="10" t="s">
        <v>305</v>
      </c>
      <c r="D161" s="11" t="s">
        <v>104</v>
      </c>
    </row>
    <row r="162" spans="1:4" x14ac:dyDescent="0.2">
      <c r="A162" s="16">
        <v>1</v>
      </c>
      <c r="B162" s="14" t="s">
        <v>111</v>
      </c>
      <c r="C162" s="10" t="s">
        <v>438</v>
      </c>
      <c r="D162" s="10" t="s">
        <v>331</v>
      </c>
    </row>
    <row r="163" spans="1:4" x14ac:dyDescent="0.2">
      <c r="A163" s="16">
        <v>2</v>
      </c>
      <c r="B163" s="14" t="s">
        <v>111</v>
      </c>
      <c r="C163" s="10" t="s">
        <v>305</v>
      </c>
      <c r="D163" s="10" t="s">
        <v>100</v>
      </c>
    </row>
    <row r="164" spans="1:4" x14ac:dyDescent="0.2">
      <c r="A164" s="13">
        <v>6</v>
      </c>
      <c r="B164" s="9" t="s">
        <v>109</v>
      </c>
      <c r="C164" s="10" t="s">
        <v>438</v>
      </c>
      <c r="D164" s="11" t="s">
        <v>333</v>
      </c>
    </row>
    <row r="165" spans="1:4" x14ac:dyDescent="0.2">
      <c r="A165" s="13">
        <v>1</v>
      </c>
      <c r="B165" s="9" t="s">
        <v>109</v>
      </c>
      <c r="C165" s="10" t="s">
        <v>305</v>
      </c>
      <c r="D165" s="11" t="s">
        <v>104</v>
      </c>
    </row>
    <row r="166" spans="1:4" x14ac:dyDescent="0.2">
      <c r="A166" s="16">
        <v>1</v>
      </c>
      <c r="B166" s="14" t="s">
        <v>106</v>
      </c>
      <c r="C166" s="10" t="s">
        <v>438</v>
      </c>
      <c r="D166" s="10" t="s">
        <v>335</v>
      </c>
    </row>
    <row r="167" spans="1:4" x14ac:dyDescent="0.2">
      <c r="A167" s="16">
        <v>1</v>
      </c>
      <c r="B167" s="14" t="s">
        <v>106</v>
      </c>
      <c r="C167" s="10" t="s">
        <v>305</v>
      </c>
      <c r="D167" s="10" t="s">
        <v>107</v>
      </c>
    </row>
    <row r="168" spans="1:4" x14ac:dyDescent="0.2">
      <c r="A168" s="13">
        <v>2</v>
      </c>
      <c r="B168" s="9" t="s">
        <v>102</v>
      </c>
      <c r="C168" s="10" t="s">
        <v>438</v>
      </c>
      <c r="D168" s="11" t="s">
        <v>331</v>
      </c>
    </row>
    <row r="169" spans="1:4" x14ac:dyDescent="0.2">
      <c r="A169" s="13">
        <v>3</v>
      </c>
      <c r="B169" s="9" t="s">
        <v>102</v>
      </c>
      <c r="C169" s="10" t="s">
        <v>305</v>
      </c>
      <c r="D169" s="11" t="s">
        <v>103</v>
      </c>
    </row>
    <row r="170" spans="1:4" x14ac:dyDescent="0.2">
      <c r="A170" s="16">
        <v>2</v>
      </c>
      <c r="B170" s="14" t="s">
        <v>99</v>
      </c>
      <c r="C170" s="10" t="s">
        <v>438</v>
      </c>
      <c r="D170" s="10" t="s">
        <v>325</v>
      </c>
    </row>
    <row r="171" spans="1:4" x14ac:dyDescent="0.2">
      <c r="A171" s="16">
        <v>2</v>
      </c>
      <c r="B171" s="14" t="s">
        <v>99</v>
      </c>
      <c r="C171" s="10" t="s">
        <v>305</v>
      </c>
      <c r="D171" s="10" t="s">
        <v>100</v>
      </c>
    </row>
    <row r="172" spans="1:4" x14ac:dyDescent="0.2">
      <c r="A172" s="13">
        <v>1</v>
      </c>
      <c r="B172" s="9" t="s">
        <v>97</v>
      </c>
      <c r="C172" s="10" t="s">
        <v>438</v>
      </c>
      <c r="D172" s="11" t="s">
        <v>328</v>
      </c>
    </row>
    <row r="173" spans="1:4" x14ac:dyDescent="0.2">
      <c r="A173" s="13">
        <v>2</v>
      </c>
      <c r="B173" s="9" t="s">
        <v>97</v>
      </c>
      <c r="C173" s="10" t="s">
        <v>305</v>
      </c>
      <c r="D173" s="11" t="s">
        <v>87</v>
      </c>
    </row>
    <row r="174" spans="1:4" x14ac:dyDescent="0.2">
      <c r="A174" s="16">
        <v>1</v>
      </c>
      <c r="B174" s="14" t="s">
        <v>94</v>
      </c>
      <c r="C174" s="10" t="s">
        <v>438</v>
      </c>
      <c r="D174" s="10" t="s">
        <v>325</v>
      </c>
    </row>
    <row r="175" spans="1:4" x14ac:dyDescent="0.2">
      <c r="A175" s="16">
        <v>2</v>
      </c>
      <c r="B175" s="14" t="s">
        <v>94</v>
      </c>
      <c r="C175" s="10" t="s">
        <v>305</v>
      </c>
      <c r="D175" s="10" t="s">
        <v>95</v>
      </c>
    </row>
    <row r="176" spans="1:4" x14ac:dyDescent="0.2">
      <c r="A176" s="13">
        <v>1</v>
      </c>
      <c r="B176" s="9" t="s">
        <v>91</v>
      </c>
      <c r="C176" s="10" t="s">
        <v>438</v>
      </c>
      <c r="D176" s="11" t="s">
        <v>325</v>
      </c>
    </row>
    <row r="177" spans="1:4" x14ac:dyDescent="0.2">
      <c r="A177" s="13">
        <v>2</v>
      </c>
      <c r="B177" s="9" t="s">
        <v>91</v>
      </c>
      <c r="C177" s="10" t="s">
        <v>305</v>
      </c>
      <c r="D177" s="11" t="s">
        <v>87</v>
      </c>
    </row>
    <row r="178" spans="1:4" x14ac:dyDescent="0.2">
      <c r="A178" s="16">
        <v>3</v>
      </c>
      <c r="B178" s="14" t="s">
        <v>89</v>
      </c>
      <c r="C178" s="10" t="s">
        <v>438</v>
      </c>
      <c r="D178" s="10" t="s">
        <v>320</v>
      </c>
    </row>
    <row r="179" spans="1:4" x14ac:dyDescent="0.2">
      <c r="A179" s="16">
        <v>1</v>
      </c>
      <c r="B179" s="14" t="s">
        <v>89</v>
      </c>
      <c r="C179" s="10" t="s">
        <v>305</v>
      </c>
      <c r="D179" s="10" t="s">
        <v>87</v>
      </c>
    </row>
    <row r="180" spans="1:4" x14ac:dyDescent="0.2">
      <c r="A180" s="13">
        <v>4</v>
      </c>
      <c r="B180" s="9" t="s">
        <v>86</v>
      </c>
      <c r="C180" s="10" t="s">
        <v>438</v>
      </c>
      <c r="D180" s="11" t="s">
        <v>320</v>
      </c>
    </row>
    <row r="181" spans="1:4" x14ac:dyDescent="0.2">
      <c r="A181" s="13">
        <v>1</v>
      </c>
      <c r="B181" s="9" t="s">
        <v>86</v>
      </c>
      <c r="C181" s="10" t="s">
        <v>305</v>
      </c>
      <c r="D181" s="11" t="s">
        <v>87</v>
      </c>
    </row>
    <row r="182" spans="1:4" x14ac:dyDescent="0.2">
      <c r="A182" s="16">
        <v>1</v>
      </c>
      <c r="B182" s="14" t="s">
        <v>82</v>
      </c>
      <c r="C182" s="10" t="s">
        <v>438</v>
      </c>
      <c r="D182" s="10" t="s">
        <v>312</v>
      </c>
    </row>
    <row r="183" spans="1:4" x14ac:dyDescent="0.2">
      <c r="A183" s="16">
        <v>3</v>
      </c>
      <c r="B183" s="14" t="s">
        <v>82</v>
      </c>
      <c r="C183" s="10" t="s">
        <v>305</v>
      </c>
      <c r="D183" s="10" t="s">
        <v>83</v>
      </c>
    </row>
    <row r="184" spans="1:4" x14ac:dyDescent="0.2">
      <c r="A184" s="13">
        <v>1</v>
      </c>
      <c r="B184" s="9" t="s">
        <v>79</v>
      </c>
      <c r="C184" s="10" t="s">
        <v>438</v>
      </c>
      <c r="D184" s="11" t="s">
        <v>312</v>
      </c>
    </row>
    <row r="185" spans="1:4" x14ac:dyDescent="0.2">
      <c r="A185" s="13">
        <v>4</v>
      </c>
      <c r="B185" s="9" t="s">
        <v>79</v>
      </c>
      <c r="C185" s="10" t="s">
        <v>305</v>
      </c>
      <c r="D185" s="11" t="s">
        <v>80</v>
      </c>
    </row>
    <row r="186" spans="1:4" x14ac:dyDescent="0.2">
      <c r="A186" s="16">
        <v>2</v>
      </c>
      <c r="B186" s="14" t="s">
        <v>75</v>
      </c>
      <c r="C186" s="10" t="s">
        <v>438</v>
      </c>
      <c r="D186" s="10" t="s">
        <v>312</v>
      </c>
    </row>
    <row r="187" spans="1:4" x14ac:dyDescent="0.2">
      <c r="A187" s="16">
        <v>1</v>
      </c>
      <c r="B187" s="14" t="s">
        <v>75</v>
      </c>
      <c r="C187" s="10" t="s">
        <v>305</v>
      </c>
      <c r="D187" s="10" t="s">
        <v>76</v>
      </c>
    </row>
    <row r="188" spans="1:4" x14ac:dyDescent="0.2">
      <c r="A188" s="13">
        <v>1</v>
      </c>
      <c r="B188" s="9" t="s">
        <v>73</v>
      </c>
      <c r="C188" s="10" t="s">
        <v>438</v>
      </c>
      <c r="D188" s="11" t="s">
        <v>307</v>
      </c>
    </row>
    <row r="189" spans="1:4" x14ac:dyDescent="0.2">
      <c r="A189" s="13">
        <v>1</v>
      </c>
      <c r="B189" s="9" t="s">
        <v>73</v>
      </c>
      <c r="C189" s="10" t="s">
        <v>305</v>
      </c>
      <c r="D189" s="11" t="s">
        <v>41</v>
      </c>
    </row>
    <row r="190" spans="1:4" x14ac:dyDescent="0.2">
      <c r="A190" s="16">
        <v>1</v>
      </c>
      <c r="B190" s="14" t="s">
        <v>69</v>
      </c>
      <c r="C190" s="10" t="s">
        <v>438</v>
      </c>
      <c r="D190" s="10" t="s">
        <v>312</v>
      </c>
    </row>
    <row r="191" spans="1:4" x14ac:dyDescent="0.2">
      <c r="A191" s="16">
        <v>4</v>
      </c>
      <c r="B191" s="14" t="s">
        <v>69</v>
      </c>
      <c r="C191" s="10" t="s">
        <v>305</v>
      </c>
      <c r="D191" s="10" t="s">
        <v>70</v>
      </c>
    </row>
    <row r="192" spans="1:4" x14ac:dyDescent="0.2">
      <c r="A192" s="13">
        <v>2</v>
      </c>
      <c r="B192" s="9" t="s">
        <v>67</v>
      </c>
      <c r="C192" s="10" t="s">
        <v>438</v>
      </c>
      <c r="D192" s="11" t="s">
        <v>312</v>
      </c>
    </row>
    <row r="193" spans="1:4" x14ac:dyDescent="0.2">
      <c r="A193" s="13">
        <v>1</v>
      </c>
      <c r="B193" s="9" t="s">
        <v>67</v>
      </c>
      <c r="C193" s="10" t="s">
        <v>305</v>
      </c>
      <c r="D193" s="11" t="s">
        <v>59</v>
      </c>
    </row>
    <row r="194" spans="1:4" x14ac:dyDescent="0.2">
      <c r="A194" s="16">
        <v>3</v>
      </c>
      <c r="B194" s="14" t="s">
        <v>64</v>
      </c>
      <c r="C194" s="10" t="s">
        <v>438</v>
      </c>
      <c r="D194" s="10" t="s">
        <v>310</v>
      </c>
    </row>
    <row r="195" spans="1:4" x14ac:dyDescent="0.2">
      <c r="A195" s="16">
        <v>1</v>
      </c>
      <c r="B195" s="14" t="s">
        <v>64</v>
      </c>
      <c r="C195" s="10" t="s">
        <v>305</v>
      </c>
      <c r="D195" s="10" t="s">
        <v>59</v>
      </c>
    </row>
    <row r="196" spans="1:4" x14ac:dyDescent="0.2">
      <c r="A196" s="13"/>
      <c r="B196" s="9" t="s">
        <v>61</v>
      </c>
      <c r="C196" s="10" t="s">
        <v>438</v>
      </c>
      <c r="D196" s="11" t="s">
        <v>306</v>
      </c>
    </row>
    <row r="197" spans="1:4" x14ac:dyDescent="0.2">
      <c r="A197" s="13"/>
      <c r="B197" s="9" t="s">
        <v>61</v>
      </c>
      <c r="C197" s="10" t="s">
        <v>305</v>
      </c>
      <c r="D197" s="11" t="s">
        <v>51</v>
      </c>
    </row>
    <row r="198" spans="1:4" x14ac:dyDescent="0.2">
      <c r="A198" s="16"/>
      <c r="B198" s="14" t="s">
        <v>58</v>
      </c>
      <c r="C198" s="10" t="s">
        <v>438</v>
      </c>
      <c r="D198" s="10" t="s">
        <v>306</v>
      </c>
    </row>
    <row r="199" spans="1:4" x14ac:dyDescent="0.2">
      <c r="A199" s="16"/>
      <c r="B199" s="14" t="s">
        <v>58</v>
      </c>
      <c r="C199" s="10" t="s">
        <v>305</v>
      </c>
      <c r="D199" s="10" t="s">
        <v>59</v>
      </c>
    </row>
    <row r="200" spans="1:4" x14ac:dyDescent="0.2">
      <c r="A200" s="13"/>
      <c r="B200" s="9" t="s">
        <v>54</v>
      </c>
      <c r="C200" s="10" t="s">
        <v>305</v>
      </c>
      <c r="D200" s="11" t="s">
        <v>55</v>
      </c>
    </row>
    <row r="201" spans="1:4" x14ac:dyDescent="0.2">
      <c r="A201" s="16"/>
      <c r="B201" s="14" t="s">
        <v>50</v>
      </c>
      <c r="C201" s="10" t="s">
        <v>305</v>
      </c>
      <c r="D201" s="10" t="s">
        <v>51</v>
      </c>
    </row>
    <row r="202" spans="1:4" x14ac:dyDescent="0.2">
      <c r="A202" s="13"/>
      <c r="B202" s="9" t="s">
        <v>46</v>
      </c>
      <c r="C202" s="10" t="s">
        <v>305</v>
      </c>
      <c r="D202" s="11" t="s">
        <v>47</v>
      </c>
    </row>
    <row r="203" spans="1:4" x14ac:dyDescent="0.2">
      <c r="A203" s="16"/>
      <c r="B203" s="14" t="s">
        <v>43</v>
      </c>
      <c r="C203" s="10" t="s">
        <v>305</v>
      </c>
      <c r="D203" s="10" t="s">
        <v>44</v>
      </c>
    </row>
    <row r="204" spans="1:4" x14ac:dyDescent="0.2">
      <c r="A204" s="13"/>
      <c r="B204" s="9" t="s">
        <v>39</v>
      </c>
      <c r="C204" s="10" t="s">
        <v>305</v>
      </c>
      <c r="D204" s="11" t="s">
        <v>40</v>
      </c>
    </row>
    <row r="205" spans="1:4" x14ac:dyDescent="0.2">
      <c r="A205" s="16"/>
      <c r="B205" s="14" t="s">
        <v>37</v>
      </c>
      <c r="C205" s="10" t="s">
        <v>305</v>
      </c>
      <c r="D205" s="10" t="s">
        <v>26</v>
      </c>
    </row>
    <row r="206" spans="1:4" x14ac:dyDescent="0.2">
      <c r="A206" s="13"/>
      <c r="B206" s="9" t="s">
        <v>33</v>
      </c>
      <c r="C206" s="10" t="s">
        <v>305</v>
      </c>
      <c r="D206" s="11" t="s">
        <v>34</v>
      </c>
    </row>
    <row r="207" spans="1:4" x14ac:dyDescent="0.2">
      <c r="A207" s="16"/>
      <c r="B207" s="14" t="s">
        <v>30</v>
      </c>
      <c r="C207" s="10" t="s">
        <v>305</v>
      </c>
      <c r="D207" s="10" t="s">
        <v>31</v>
      </c>
    </row>
    <row r="208" spans="1:4" x14ac:dyDescent="0.2">
      <c r="A208" s="13"/>
      <c r="B208" s="9" t="s">
        <v>28</v>
      </c>
      <c r="C208" s="10" t="s">
        <v>305</v>
      </c>
      <c r="D208" s="11" t="s">
        <v>10</v>
      </c>
    </row>
    <row r="209" spans="1:4" x14ac:dyDescent="0.2">
      <c r="A209" s="16"/>
      <c r="B209" s="14" t="s">
        <v>25</v>
      </c>
      <c r="C209" s="10" t="s">
        <v>305</v>
      </c>
      <c r="D209" s="10" t="s">
        <v>14</v>
      </c>
    </row>
    <row r="210" spans="1:4" x14ac:dyDescent="0.2">
      <c r="A210" s="13"/>
      <c r="B210" s="9" t="s">
        <v>21</v>
      </c>
      <c r="C210" s="10" t="s">
        <v>305</v>
      </c>
      <c r="D210" s="11" t="s">
        <v>22</v>
      </c>
    </row>
    <row r="211" spans="1:4" x14ac:dyDescent="0.2">
      <c r="A211" s="16"/>
      <c r="B211" s="14" t="s">
        <v>17</v>
      </c>
      <c r="C211" s="10" t="s">
        <v>305</v>
      </c>
      <c r="D211" s="10" t="s">
        <v>18</v>
      </c>
    </row>
    <row r="212" spans="1:4" x14ac:dyDescent="0.2">
      <c r="A212" s="13"/>
      <c r="B212" s="9" t="s">
        <v>13</v>
      </c>
      <c r="C212" s="10" t="s">
        <v>305</v>
      </c>
      <c r="D212" s="11" t="s">
        <v>14</v>
      </c>
    </row>
    <row r="213" spans="1:4" x14ac:dyDescent="0.2">
      <c r="A213" s="16"/>
      <c r="B213" s="14" t="s">
        <v>9</v>
      </c>
      <c r="C213" s="10" t="s">
        <v>305</v>
      </c>
      <c r="D213" s="10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72C832-81BD-4D18-A9BC-2733855288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Australian Open</vt:lpstr>
      <vt:lpstr>Nationality</vt:lpstr>
      <vt:lpstr>Gender</vt:lpstr>
      <vt:lpstr>Seed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268</dc:creator>
  <cp:lastModifiedBy>Minjung Koo</cp:lastModifiedBy>
  <dcterms:created xsi:type="dcterms:W3CDTF">2015-06-05T18:17:20Z</dcterms:created>
  <dcterms:modified xsi:type="dcterms:W3CDTF">2025-04-23T08:53:33Z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2024-04-18T03:39:22Z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187cc2d2-f5e1-41b1-a783-bcd7f6e7751c</vt:lpwstr>
  </property>
  <property fmtid="{D5CDD505-2E9C-101B-9397-08002B2CF9AE}" pid="8" name="MSIP_Label_51a6c3db-1667-4f49-995a-8b9973972958_ContentBits">
    <vt:lpwstr>0</vt:lpwstr>
  </property>
</Properties>
</file>